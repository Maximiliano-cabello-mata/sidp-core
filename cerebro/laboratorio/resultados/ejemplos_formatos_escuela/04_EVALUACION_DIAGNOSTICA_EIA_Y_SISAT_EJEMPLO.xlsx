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AMEN_DIAGNOSTICO" sheetId="1" state="visible" r:id="rId1"/>
    <sheet name="DHBA_SISAT_Y_E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GRADO</t>
        </is>
      </c>
      <c r="B1" t="inlineStr">
        <is>
          <t>TOTAL ALUMNOS =COUNTA(B4:B8)</t>
        </is>
      </c>
      <c r="C1" t="inlineStr">
        <is>
          <t>PROMEDIO GENERAL =AVERAGE(G4:G8)</t>
        </is>
      </c>
      <c r="D1" t="inlineStr">
        <is>
          <t>MAXIMO =MAX(G4:G8)</t>
        </is>
      </c>
      <c r="E1" t="inlineStr">
        <is>
          <t>MINIMO =MIN(G4:G8)</t>
        </is>
      </c>
    </row>
    <row r="2">
      <c r="A2" t="inlineStr">
        <is>
          <t>1? A</t>
        </is>
      </c>
      <c r="B2">
        <f>COUNTA(B4:B8)</f>
        <v/>
      </c>
      <c r="C2">
        <f>ROUND(AVERAGE(G4:G8),2)</f>
        <v/>
      </c>
      <c r="D2">
        <f>MAX(G4:G8)</f>
        <v/>
      </c>
      <c r="E2">
        <f>MIN(G4:G8)</f>
        <v/>
      </c>
    </row>
    <row r="3">
      <c r="A3" t="inlineStr">
        <is>
          <t>NP</t>
        </is>
      </c>
      <c r="B3" t="inlineStr">
        <is>
          <t>NOMBRE (FICHAS.JSON)</t>
        </is>
      </c>
      <c r="C3" t="inlineStr">
        <is>
          <t>LEN</t>
        </is>
      </c>
      <c r="D3" t="inlineStr">
        <is>
          <t>SyPC</t>
        </is>
      </c>
      <c r="E3" t="inlineStr">
        <is>
          <t>ENS</t>
        </is>
      </c>
      <c r="F3" t="inlineStr">
        <is>
          <t>HyC</t>
        </is>
      </c>
      <c r="G3" t="inlineStr">
        <is>
          <t>PROMEDIO</t>
        </is>
      </c>
    </row>
    <row r="4">
      <c r="A4" t="n">
        <v>1</v>
      </c>
      <c r="B4" t="inlineStr">
        <is>
          <t>HERNANDEZ RAMIREZ LUIS ANGEL</t>
        </is>
      </c>
      <c r="C4" t="n">
        <v>9</v>
      </c>
      <c r="D4" t="n">
        <v>9.5</v>
      </c>
      <c r="E4" t="n">
        <v>9</v>
      </c>
      <c r="F4" t="n">
        <v>9.5</v>
      </c>
      <c r="G4">
        <f>ROUND(AVERAGE(C4:F4),2)</f>
        <v/>
      </c>
    </row>
    <row r="5">
      <c r="A5" t="n">
        <v>2</v>
      </c>
      <c r="B5" t="inlineStr">
        <is>
          <t>MARTINEZ GOMEZ SOFIA</t>
        </is>
      </c>
      <c r="C5" t="n">
        <v>8.5</v>
      </c>
      <c r="D5" t="n">
        <v>8</v>
      </c>
      <c r="E5" t="n">
        <v>8.5</v>
      </c>
      <c r="F5" t="n">
        <v>9</v>
      </c>
      <c r="G5">
        <f>ROUND(AVERAGE(C5:F5),2)</f>
        <v/>
      </c>
    </row>
    <row r="6">
      <c r="A6" t="n">
        <v>3</v>
      </c>
      <c r="B6" t="inlineStr">
        <is>
          <t>PEREZ LUNA CARLOS</t>
        </is>
      </c>
      <c r="C6" t="n">
        <v>7</v>
      </c>
      <c r="D6" t="n">
        <v>6.5</v>
      </c>
      <c r="E6" t="n">
        <v>7.5</v>
      </c>
      <c r="F6" t="n">
        <v>8</v>
      </c>
      <c r="G6">
        <f>ROUND(AVERAGE(C6:F6),2)</f>
        <v/>
      </c>
    </row>
    <row r="7">
      <c r="A7" t="n">
        <v>4</v>
      </c>
      <c r="B7" t="inlineStr">
        <is>
          <t>TORRES VEGA ANA</t>
        </is>
      </c>
      <c r="C7" t="n">
        <v>5.5</v>
      </c>
      <c r="D7" t="n">
        <v>5</v>
      </c>
      <c r="E7" t="n">
        <v>6</v>
      </c>
      <c r="F7" t="n">
        <v>5.5</v>
      </c>
      <c r="G7">
        <f>ROUND(AVERAGE(C7:F7),2)</f>
        <v/>
      </c>
    </row>
    <row r="8">
      <c r="A8" t="n">
        <v>5</v>
      </c>
      <c r="B8" t="inlineStr">
        <is>
          <t>CASTRO NAVA DIEGO</t>
        </is>
      </c>
      <c r="C8" t="n">
        <v>9.5</v>
      </c>
      <c r="D8" t="n">
        <v>9</v>
      </c>
      <c r="E8" t="n">
        <v>9.5</v>
      </c>
      <c r="F8" t="n">
        <v>10</v>
      </c>
      <c r="G8">
        <f>ROUND(AVERAGE(C8:F8),2)</f>
        <v/>
      </c>
    </row>
    <row r="9">
      <c r="A9" t="inlineStr"/>
      <c r="B9" t="inlineStr">
        <is>
          <t>EXCELENTE (9.0-10.0)</t>
        </is>
      </c>
      <c r="C9">
        <f>COUNTIF(G4:G8,"&gt;=9.0")</f>
        <v/>
      </c>
    </row>
    <row r="10">
      <c r="A10" t="inlineStr"/>
      <c r="B10" t="inlineStr">
        <is>
          <t>SATISFACTORIO (8.0-8.9)</t>
        </is>
      </c>
      <c r="C10">
        <f>COUNTIFS(G4:G8,"&gt;=8.0",G4:G8,"&lt;9.0")</f>
        <v/>
      </c>
    </row>
    <row r="11">
      <c r="A11" t="inlineStr"/>
      <c r="B11" t="inlineStr">
        <is>
          <t>SUFICIENTE (6.0-7.9)</t>
        </is>
      </c>
      <c r="C11">
        <f>COUNTIFS(G4:G8,"&gt;=6.0",G4:G8,"&lt;8.0")</f>
        <v/>
      </c>
    </row>
    <row r="12">
      <c r="A12" t="inlineStr"/>
      <c r="B12" t="inlineStr">
        <is>
          <t>EN RIESGO (&lt;6.0)</t>
        </is>
      </c>
      <c r="C12">
        <f>COUNTIF(G4:G8,"&lt;6.0")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NP</t>
        </is>
      </c>
      <c r="B1" t="inlineStr">
        <is>
          <t>NOMBRE (FICHAS.JSON)</t>
        </is>
      </c>
      <c r="C1" t="inlineStr">
        <is>
          <t>LEC_FLUIDEZ</t>
        </is>
      </c>
      <c r="D1" t="inlineStr">
        <is>
          <t>LEC_PRECISION</t>
        </is>
      </c>
      <c r="E1" t="inlineStr">
        <is>
          <t>LEC_ATENCION</t>
        </is>
      </c>
      <c r="F1" t="inlineStr">
        <is>
          <t>LEC_VOZ</t>
        </is>
      </c>
      <c r="G1" t="inlineStr">
        <is>
          <t>LEC_SEGURIDAD</t>
        </is>
      </c>
      <c r="H1" t="inlineStr">
        <is>
          <t>LEC_COMPRENSION</t>
        </is>
      </c>
      <c r="I1" t="inlineStr">
        <is>
          <t>SUMA_LEC</t>
        </is>
      </c>
      <c r="J1" t="inlineStr">
        <is>
          <t>NIVEL_LEC</t>
        </is>
      </c>
      <c r="K1" t="inlineStr">
        <is>
          <t>CALC_R1</t>
        </is>
      </c>
      <c r="L1" t="inlineStr">
        <is>
          <t>CALC_R2</t>
        </is>
      </c>
      <c r="M1" t="inlineStr">
        <is>
          <t>CALC_1_SIN_APOYO</t>
        </is>
      </c>
      <c r="N1" t="inlineStr">
        <is>
          <t>CALC_1V_CON_APOYO</t>
        </is>
      </c>
    </row>
    <row r="2">
      <c r="A2" t="n">
        <v>1</v>
      </c>
      <c r="B2" t="inlineStr">
        <is>
          <t>HERNANDEZ RAMIREZ LUIS ANGEL</t>
        </is>
      </c>
      <c r="C2" t="n">
        <v>3</v>
      </c>
      <c r="D2" t="n">
        <v>3</v>
      </c>
      <c r="E2" t="n">
        <v>2</v>
      </c>
      <c r="F2" t="n">
        <v>3</v>
      </c>
      <c r="G2" t="n">
        <v>3</v>
      </c>
      <c r="H2" t="n">
        <v>2</v>
      </c>
      <c r="I2">
        <f>SUM(C2:H2)</f>
        <v/>
      </c>
      <c r="J2">
        <f>IF(I2&gt;=15,"NIVEL ESPERADO",IF(I2&gt;=10,"EN DESARROLLO","REQUIERE APOYO"))</f>
        <v/>
      </c>
      <c r="K2" t="inlineStr">
        <is>
          <t>1</t>
        </is>
      </c>
      <c r="L2" t="inlineStr">
        <is>
          <t>1V</t>
        </is>
      </c>
      <c r="M2">
        <f>COUNTIF(K2:L2,"1")</f>
        <v/>
      </c>
      <c r="N2">
        <f>COUNTIF(K2:L2,"1V")</f>
        <v/>
      </c>
    </row>
    <row r="3">
      <c r="A3" t="n">
        <v>2</v>
      </c>
      <c r="B3" t="inlineStr">
        <is>
          <t>MARTINEZ GOMEZ SOFIA</t>
        </is>
      </c>
      <c r="C3" t="n">
        <v>3</v>
      </c>
      <c r="D3" t="n">
        <v>3</v>
      </c>
      <c r="E3" t="n">
        <v>2</v>
      </c>
      <c r="F3" t="n">
        <v>3</v>
      </c>
      <c r="G3" t="n">
        <v>3</v>
      </c>
      <c r="H3" t="n">
        <v>2</v>
      </c>
      <c r="I3">
        <f>SUM(C3:H3)</f>
        <v/>
      </c>
      <c r="J3">
        <f>IF(I3&gt;=15,"NIVEL ESPERADO",IF(I3&gt;=10,"EN DESARROLLO","REQUIERE APOYO"))</f>
        <v/>
      </c>
      <c r="K3" t="inlineStr">
        <is>
          <t>1</t>
        </is>
      </c>
      <c r="L3" t="inlineStr">
        <is>
          <t>1V</t>
        </is>
      </c>
      <c r="M3">
        <f>COUNTIF(K3:L3,"1")</f>
        <v/>
      </c>
      <c r="N3">
        <f>COUNTIF(K3:L3,"1V")</f>
        <v/>
      </c>
    </row>
    <row r="4">
      <c r="A4" t="n">
        <v>3</v>
      </c>
      <c r="B4" t="inlineStr">
        <is>
          <t>PEREZ LUNA CARLOS</t>
        </is>
      </c>
      <c r="C4" t="n">
        <v>3</v>
      </c>
      <c r="D4" t="n">
        <v>3</v>
      </c>
      <c r="E4" t="n">
        <v>2</v>
      </c>
      <c r="F4" t="n">
        <v>3</v>
      </c>
      <c r="G4" t="n">
        <v>3</v>
      </c>
      <c r="H4" t="n">
        <v>2</v>
      </c>
      <c r="I4">
        <f>SUM(C4:H4)</f>
        <v/>
      </c>
      <c r="J4">
        <f>IF(I4&gt;=15,"NIVEL ESPERADO",IF(I4&gt;=10,"EN DESARROLLO","REQUIERE APOYO"))</f>
        <v/>
      </c>
      <c r="K4" t="inlineStr">
        <is>
          <t>1</t>
        </is>
      </c>
      <c r="L4" t="inlineStr">
        <is>
          <t>1V</t>
        </is>
      </c>
      <c r="M4">
        <f>COUNTIF(K4:L4,"1")</f>
        <v/>
      </c>
      <c r="N4">
        <f>COUNTIF(K4:L4,"1V")</f>
        <v/>
      </c>
    </row>
    <row r="5">
      <c r="A5" t="n">
        <v>4</v>
      </c>
      <c r="B5" t="inlineStr">
        <is>
          <t>TORRES VEGA ANA</t>
        </is>
      </c>
      <c r="C5" t="n">
        <v>3</v>
      </c>
      <c r="D5" t="n">
        <v>3</v>
      </c>
      <c r="E5" t="n">
        <v>2</v>
      </c>
      <c r="F5" t="n">
        <v>3</v>
      </c>
      <c r="G5" t="n">
        <v>3</v>
      </c>
      <c r="H5" t="n">
        <v>2</v>
      </c>
      <c r="I5">
        <f>SUM(C5:H5)</f>
        <v/>
      </c>
      <c r="J5">
        <f>IF(I5&gt;=15,"NIVEL ESPERADO",IF(I5&gt;=10,"EN DESARROLLO","REQUIERE APOYO"))</f>
        <v/>
      </c>
      <c r="K5" t="inlineStr">
        <is>
          <t>1</t>
        </is>
      </c>
      <c r="L5" t="inlineStr">
        <is>
          <t>1V</t>
        </is>
      </c>
      <c r="M5">
        <f>COUNTIF(K5:L5,"1")</f>
        <v/>
      </c>
      <c r="N5">
        <f>COUNTIF(K5:L5,"1V")</f>
        <v/>
      </c>
    </row>
    <row r="6">
      <c r="A6" t="n">
        <v>5</v>
      </c>
      <c r="B6" t="inlineStr">
        <is>
          <t>CASTRO NAVA DIEGO</t>
        </is>
      </c>
      <c r="C6" t="n">
        <v>3</v>
      </c>
      <c r="D6" t="n">
        <v>3</v>
      </c>
      <c r="E6" t="n">
        <v>2</v>
      </c>
      <c r="F6" t="n">
        <v>3</v>
      </c>
      <c r="G6" t="n">
        <v>3</v>
      </c>
      <c r="H6" t="n">
        <v>2</v>
      </c>
      <c r="I6">
        <f>SUM(C6:H6)</f>
        <v/>
      </c>
      <c r="J6">
        <f>IF(I6&gt;=15,"NIVEL ESPERADO",IF(I6&gt;=10,"EN DESARROLLO","REQUIERE APOYO"))</f>
        <v/>
      </c>
      <c r="K6" t="inlineStr">
        <is>
          <t>1</t>
        </is>
      </c>
      <c r="L6" t="inlineStr">
        <is>
          <t>1V</t>
        </is>
      </c>
      <c r="M6">
        <f>COUNTIF(K6:L6,"1")</f>
        <v/>
      </c>
      <c r="N6">
        <f>COUNTIF(K6:L6,"1V")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2026-10-25T20:27:19Z</dcterms:created>
  <dcterms:modified xsi:type="dcterms:W3CDTF">2026-10-25T20:27:19Z</dcterms:modified>
</cp:coreProperties>
</file>