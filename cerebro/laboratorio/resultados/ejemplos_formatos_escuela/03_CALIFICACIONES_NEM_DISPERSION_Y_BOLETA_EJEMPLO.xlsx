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BOLETA_OBSERVACIONES" sheetId="1" state="visible" r:id="rId1"/>
    <sheet name="DISPERSION_Y_REZAGO" sheetId="2" state="visible" r:id="rId2"/>
    <sheet name="ASISTENCIAS_Y_FALTAS" sheetId="3" state="visible" r:id="rId3"/>
    <sheet name="CONDICION_Y_DISCAPACIDAD_B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GRUPO</t>
        </is>
      </c>
      <c r="C1" t="inlineStr">
        <is>
          <t>FOLIO / ID</t>
        </is>
      </c>
      <c r="D1" t="inlineStr">
        <is>
          <t>CURP</t>
        </is>
      </c>
      <c r="E1" t="inlineStr">
        <is>
          <t>PRIMER APELLIDO</t>
        </is>
      </c>
      <c r="F1" t="inlineStr">
        <is>
          <t>SEGUNDO APELLIDO</t>
        </is>
      </c>
      <c r="G1" t="inlineStr">
        <is>
          <t>NOMBRE(S)</t>
        </is>
      </c>
      <c r="H1" t="inlineStr">
        <is>
          <t>LENGUAJES P1</t>
        </is>
      </c>
      <c r="I1" t="inlineStr">
        <is>
          <t>SABERES Y PENSAMIENTO CIENTIFICO P1</t>
        </is>
      </c>
      <c r="J1" t="inlineStr">
        <is>
          <t>ETICA, NATURALEZA Y SOCIEDADES P1</t>
        </is>
      </c>
      <c r="K1" t="inlineStr">
        <is>
          <t>DE LO HUMANO Y LO COMUNITARIO P1</t>
        </is>
      </c>
      <c r="L1" t="inlineStr">
        <is>
          <t>OBS LENGUAJES P1</t>
        </is>
      </c>
      <c r="M1" t="inlineStr">
        <is>
          <t>OBS SABERES P1</t>
        </is>
      </c>
      <c r="N1" t="inlineStr">
        <is>
          <t>OBS ETICA P1</t>
        </is>
      </c>
      <c r="O1" t="inlineStr">
        <is>
          <t>OBS HUMANO P1</t>
        </is>
      </c>
      <c r="P1" t="inlineStr">
        <is>
          <t>LENGUAJES P2</t>
        </is>
      </c>
      <c r="Q1" t="inlineStr">
        <is>
          <t>SABERES Y PENSAMIENTO CIENTIFICO P2</t>
        </is>
      </c>
      <c r="R1" t="inlineStr">
        <is>
          <t>ETICA, NATURALEZA Y SOCIEDADES P2</t>
        </is>
      </c>
      <c r="S1" t="inlineStr">
        <is>
          <t>DE LO HUMANO Y LO COMUNITARIO P2</t>
        </is>
      </c>
      <c r="T1" t="inlineStr">
        <is>
          <t>OBS LENGUAJES P2</t>
        </is>
      </c>
      <c r="U1" t="inlineStr">
        <is>
          <t>OBS SABERES P2</t>
        </is>
      </c>
      <c r="V1" t="inlineStr">
        <is>
          <t>OBS ETICA P2</t>
        </is>
      </c>
      <c r="W1" t="inlineStr">
        <is>
          <t>OBS HUMANO P2</t>
        </is>
      </c>
      <c r="X1" t="inlineStr">
        <is>
          <t>LENGUAJES P3</t>
        </is>
      </c>
      <c r="Y1" t="inlineStr">
        <is>
          <t>SABERES Y PENSAMIENTO CIENTIFICO P3</t>
        </is>
      </c>
      <c r="Z1" t="inlineStr">
        <is>
          <t>ETICA, NATURALEZA Y SOCIEDADES P3</t>
        </is>
      </c>
      <c r="AA1" t="inlineStr">
        <is>
          <t>DE LO HUMANO Y LO COMUNITARIO P3</t>
        </is>
      </c>
      <c r="AB1" t="inlineStr">
        <is>
          <t>OBS LENGUAJES P3</t>
        </is>
      </c>
      <c r="AC1" t="inlineStr">
        <is>
          <t>OBS SABERES P3</t>
        </is>
      </c>
      <c r="AD1" t="inlineStr">
        <is>
          <t>OBS ETICA P3</t>
        </is>
      </c>
      <c r="AE1" t="inlineStr">
        <is>
          <t>OBS HUMANO P3</t>
        </is>
      </c>
      <c r="AF1" t="inlineStr">
        <is>
          <t>PROMEDIO FINAL</t>
        </is>
      </c>
    </row>
    <row r="2">
      <c r="A2" t="n">
        <v>1</v>
      </c>
      <c r="B2" t="inlineStr">
        <is>
          <t>A</t>
        </is>
      </c>
      <c r="C2" t="inlineStr">
        <is>
          <t>100001</t>
        </is>
      </c>
      <c r="D2" t="inlineStr">
        <is>
          <t>GALM200515HDFRRA01</t>
        </is>
      </c>
      <c r="E2" t="inlineStr">
        <is>
          <t>GARCIA</t>
        </is>
      </c>
      <c r="F2" t="inlineStr">
        <is>
          <t>LOPEZ</t>
        </is>
      </c>
      <c r="G2" t="inlineStr">
        <is>
          <t>MATEO EJEMPLO</t>
        </is>
      </c>
      <c r="H2" t="n">
        <v>9</v>
      </c>
      <c r="I2" t="n">
        <v>8</v>
      </c>
      <c r="J2" t="n">
        <v>9</v>
      </c>
      <c r="K2" t="n">
        <v>10</v>
      </c>
      <c r="L2" t="inlineStr">
        <is>
          <t>Expresa ideas con claridad y avanza en lectoescritura.</t>
        </is>
      </c>
      <c r="M2" t="inlineStr">
        <is>
          <t>Resuelve problemas de suma y conteo con material concreto.</t>
        </is>
      </c>
      <c r="N2" t="inlineStr">
        <is>
          <t>Reconoce acuerdos de convivencia en el aula.</t>
        </is>
      </c>
      <c r="O2" t="inlineStr">
        <is>
          <t>Participa activamente en juegos motores y colaborativos.</t>
        </is>
      </c>
      <c r="P2" t="n">
        <v>9</v>
      </c>
      <c r="Q2" t="n">
        <v>9</v>
      </c>
      <c r="R2" t="n">
        <v>9</v>
      </c>
      <c r="S2" t="n">
        <v>10</v>
      </c>
      <c r="T2" t="inlineStr">
        <is>
          <t>Consolida la lectura de textos breves.</t>
        </is>
      </c>
      <c r="U2" t="inlineStr">
        <is>
          <t>Identifica figuras geometricas y patrones.</t>
        </is>
      </c>
      <c r="V2" t="inlineStr">
        <is>
          <t>Muestra empatia y cuidado del entorno natural.</t>
        </is>
      </c>
      <c r="W2" t="inlineStr">
        <is>
          <t>Regula sus emociones y colabora en equipo.</t>
        </is>
      </c>
      <c r="X2" t="n">
        <v>9</v>
      </c>
      <c r="Y2" t="n">
        <v>9</v>
      </c>
      <c r="Z2" t="n">
        <v>10</v>
      </c>
      <c r="AA2" t="n">
        <v>10</v>
      </c>
      <c r="AB2" t="inlineStr">
        <is>
          <t>Redacta textos cortos de forma autonoma.</t>
        </is>
      </c>
      <c r="AC2" t="inlineStr">
        <is>
          <t>Resuelve situaciones aditivas de dos cifras.</t>
        </is>
      </c>
      <c r="AD2" t="inlineStr">
        <is>
          <t>Participa en proyectos comunitarios escolares.</t>
        </is>
      </c>
      <c r="AE2" t="inlineStr">
        <is>
          <t>Demuestra habitos saludables y trabajo colaborativo.</t>
        </is>
      </c>
      <c r="AF2">
        <f>ROUND(AVERAGE(H2:K2,P2:S2,X2:AA2),1)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NOMBRE DEL ALUMNO</t>
        </is>
      </c>
      <c r="C1" t="inlineStr">
        <is>
          <t>LENGUAJES</t>
        </is>
      </c>
      <c r="D1" t="inlineStr">
        <is>
          <t>SABERES Y PENSAMIENTO CIENTIFICO</t>
        </is>
      </c>
      <c r="E1" t="inlineStr">
        <is>
          <t>ETICA, NATURALEZA Y SOCIEDADES</t>
        </is>
      </c>
      <c r="F1" t="inlineStr">
        <is>
          <t>DE LO HUMANO Y LO COMUNITARIO</t>
        </is>
      </c>
      <c r="G1" t="inlineStr">
        <is>
          <t>PROMEDIO</t>
        </is>
      </c>
      <c r="H1" t="inlineStr">
        <is>
          <t>NIVEL DE DESEMPEÑO</t>
        </is>
      </c>
    </row>
    <row r="2">
      <c r="A2" t="n">
        <v>1</v>
      </c>
      <c r="B2" t="inlineStr">
        <is>
          <t>GARCIA LOPEZ MATEO EJEMPLO</t>
        </is>
      </c>
      <c r="C2" t="n">
        <v>9</v>
      </c>
      <c r="D2" t="n">
        <v>8</v>
      </c>
      <c r="E2" t="n">
        <v>9</v>
      </c>
      <c r="F2" t="n">
        <v>10</v>
      </c>
      <c r="G2">
        <f>ROUND(AVERAGE(C2:F2),1)</f>
        <v/>
      </c>
      <c r="H2">
        <f>IF(G2&gt;=8,"10 A 8 ESPERADO",IF(G2&gt;=7,"7.9 A 7.0 EN DESARROLLO","REQUIERE APOYO"))</f>
        <v/>
      </c>
    </row>
    <row r="3">
      <c r="A3" t="n">
        <v>2</v>
      </c>
      <c r="B3" t="inlineStr">
        <is>
          <t>MARTINEZ SANCHEZ SOFIA EJEMPLO</t>
        </is>
      </c>
      <c r="C3" t="n">
        <v>6</v>
      </c>
      <c r="D3" t="n">
        <v>7</v>
      </c>
      <c r="E3" t="n">
        <v>6</v>
      </c>
      <c r="F3" t="n">
        <v>7</v>
      </c>
      <c r="G3">
        <f>ROUND(AVERAGE(C3:F3),1)</f>
        <v/>
      </c>
      <c r="H3">
        <f>IF(G3&gt;=8,"10 A 8 ESPERADO",IF(G3&gt;=7,"7.9 A 7.0 EN DESARROLLO","REQUIERE APOYO"))</f>
        <v/>
      </c>
    </row>
    <row r="5">
      <c r="A5" t="inlineStr">
        <is>
          <t>NIVEL DE DESEMPEÑO</t>
        </is>
      </c>
      <c r="B5" t="inlineStr">
        <is>
          <t>RANGO</t>
        </is>
      </c>
      <c r="C5" t="inlineStr">
        <is>
          <t>CANTIDAD ALUMNOS</t>
        </is>
      </c>
      <c r="D5" t="inlineStr">
        <is>
          <t>PORCENTAJE</t>
        </is>
      </c>
    </row>
    <row r="6">
      <c r="A6" t="inlineStr">
        <is>
          <t>NIVEL ESPERADO</t>
        </is>
      </c>
      <c r="B6" t="inlineStr">
        <is>
          <t>10 A 8.0</t>
        </is>
      </c>
      <c r="C6">
        <f>COUNTIF(G2:G3,"&gt;=8")</f>
        <v/>
      </c>
      <c r="D6">
        <f>C6/COUNTA(G2:G3)</f>
        <v/>
      </c>
    </row>
    <row r="7">
      <c r="A7" t="inlineStr">
        <is>
          <t>EN DESARROLLO</t>
        </is>
      </c>
      <c r="B7" t="inlineStr">
        <is>
          <t>7.9 A 7.0</t>
        </is>
      </c>
      <c r="C7">
        <f>COUNTIFS(G2:G3,"&gt;=7",G2:G3,"&lt;8")</f>
        <v/>
      </c>
      <c r="D7">
        <f>C7/COUNTA(G2:G3)</f>
        <v/>
      </c>
    </row>
    <row r="8">
      <c r="A8" t="inlineStr">
        <is>
          <t>REQUIERE APOYO</t>
        </is>
      </c>
      <c r="B8" t="inlineStr">
        <is>
          <t>6.9 A 6.0</t>
        </is>
      </c>
      <c r="C8">
        <f>COUNTIFS(G2:G3,"&gt;=6",G2:G3,"&lt;7")</f>
        <v/>
      </c>
      <c r="D8">
        <f>C8/COUNTA(G2:G3)</f>
        <v/>
      </c>
    </row>
    <row r="9">
      <c r="A9" t="inlineStr">
        <is>
          <t>REQUIERE APOYO CRITICO</t>
        </is>
      </c>
      <c r="B9" t="inlineStr">
        <is>
          <t>5.9 A 5.0</t>
        </is>
      </c>
      <c r="C9">
        <f>COUNTIF(G2:G3,"&lt;6")</f>
        <v/>
      </c>
      <c r="D9">
        <f>C9/COUNTA(G2:G3)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NOMBRE DEL ALUMNO</t>
        </is>
      </c>
      <c r="C1" t="inlineStr">
        <is>
          <t>SEP ASIS</t>
        </is>
      </c>
      <c r="D1" t="inlineStr">
        <is>
          <t>SEP FJ</t>
        </is>
      </c>
      <c r="E1" t="inlineStr">
        <is>
          <t>SEP F</t>
        </is>
      </c>
      <c r="F1" t="inlineStr">
        <is>
          <t>SEP T</t>
        </is>
      </c>
      <c r="G1" t="inlineStr">
        <is>
          <t>OCT ASIS</t>
        </is>
      </c>
      <c r="H1" t="inlineStr">
        <is>
          <t>OCT FJ</t>
        </is>
      </c>
      <c r="I1" t="inlineStr">
        <is>
          <t>OCT F</t>
        </is>
      </c>
      <c r="J1" t="inlineStr">
        <is>
          <t>OCT T</t>
        </is>
      </c>
      <c r="K1" t="inlineStr">
        <is>
          <t>NOV ASIS</t>
        </is>
      </c>
      <c r="L1" t="inlineStr">
        <is>
          <t>NOV FJ</t>
        </is>
      </c>
      <c r="M1" t="inlineStr">
        <is>
          <t>NOV F</t>
        </is>
      </c>
      <c r="N1" t="inlineStr">
        <is>
          <t>NOV T</t>
        </is>
      </c>
    </row>
    <row r="2">
      <c r="A2" t="n">
        <v>1</v>
      </c>
      <c r="B2" t="inlineStr">
        <is>
          <t>GARCIA LOPEZ MATEO EJEMPLO</t>
        </is>
      </c>
      <c r="C2" t="n">
        <v>19</v>
      </c>
      <c r="D2" t="n">
        <v>0</v>
      </c>
      <c r="E2" t="n">
        <v>1</v>
      </c>
      <c r="F2">
        <f>C2+D2+E2</f>
        <v/>
      </c>
      <c r="G2" t="n">
        <v>22</v>
      </c>
      <c r="H2" t="n">
        <v>0</v>
      </c>
      <c r="I2" t="n">
        <v>0</v>
      </c>
      <c r="J2">
        <f>G2+H2+I2</f>
        <v/>
      </c>
      <c r="K2" t="n">
        <v>18</v>
      </c>
      <c r="L2" t="n">
        <v>1</v>
      </c>
      <c r="M2" t="n">
        <v>0</v>
      </c>
      <c r="N2">
        <f>K2+L2+M2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NOMBRE DEL ALUMNO</t>
        </is>
      </c>
      <c r="C1" t="inlineStr">
        <is>
          <t>COMUNICACION</t>
        </is>
      </c>
      <c r="D1" t="inlineStr">
        <is>
          <t>LENGUAJE</t>
        </is>
      </c>
      <c r="E1" t="inlineStr">
        <is>
          <t>CONDUCTA</t>
        </is>
      </c>
      <c r="F1" t="inlineStr">
        <is>
          <t>APRENDIZAJE</t>
        </is>
      </c>
      <c r="G1" t="inlineStr">
        <is>
          <t>TDA</t>
        </is>
      </c>
      <c r="H1" t="inlineStr">
        <is>
          <t>TEA (AUTISMO)</t>
        </is>
      </c>
      <c r="I1" t="inlineStr">
        <is>
          <t>CRONICAS DEGENERATIVAS</t>
        </is>
      </c>
      <c r="J1" t="inlineStr">
        <is>
          <t>MOTRIZ</t>
        </is>
      </c>
      <c r="K1" t="inlineStr">
        <is>
          <t>BAJA VISION</t>
        </is>
      </c>
      <c r="L1" t="inlineStr">
        <is>
          <t>CEGUERA</t>
        </is>
      </c>
      <c r="M1" t="inlineStr">
        <is>
          <t>SORDERA</t>
        </is>
      </c>
      <c r="N1" t="inlineStr">
        <is>
          <t>SORDOCEGUERA</t>
        </is>
      </c>
      <c r="O1" t="inlineStr">
        <is>
          <t>HIPOACUSIA</t>
        </is>
      </c>
      <c r="P1" t="inlineStr">
        <is>
          <t>INTELECTUAL</t>
        </is>
      </c>
      <c r="Q1" t="inlineStr">
        <is>
          <t>PSICOSOCIAL</t>
        </is>
      </c>
    </row>
    <row r="2">
      <c r="A2" t="n">
        <v>1</v>
      </c>
      <c r="B2" t="inlineStr">
        <is>
          <t>MARTINEZ SANCHEZ SOFIA EJEMPLO</t>
        </is>
      </c>
      <c r="C2" t="inlineStr"/>
      <c r="D2" t="inlineStr">
        <is>
          <t>X</t>
        </is>
      </c>
      <c r="E2" t="inlineStr"/>
      <c r="F2" t="inlineStr"/>
      <c r="G2" t="inlineStr"/>
      <c r="H2" t="inlineStr"/>
      <c r="I2" t="inlineStr"/>
      <c r="J2" t="inlineStr"/>
      <c r="K2" t="inlineStr">
        <is>
          <t>X</t>
        </is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2026-10-25T19:59:45Z</dcterms:created>
  <dcterms:modified xsi:type="dcterms:W3CDTF">2026-10-25T19:59:45Z</dcterms:modified>
</cp:coreProperties>
</file>