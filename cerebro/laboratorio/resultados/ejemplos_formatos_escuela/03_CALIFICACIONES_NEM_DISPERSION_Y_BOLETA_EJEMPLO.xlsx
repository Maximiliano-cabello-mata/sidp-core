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LETA_Y_DISPERS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NP</t>
        </is>
      </c>
      <c r="B1" t="inlineStr">
        <is>
          <t>NOMBRE (FICHAS.JSON)</t>
        </is>
      </c>
      <c r="C1" t="inlineStr">
        <is>
          <t>CURP</t>
        </is>
      </c>
      <c r="D1" t="inlineStr">
        <is>
          <t>GRADO</t>
        </is>
      </c>
      <c r="E1" t="inlineStr">
        <is>
          <t>GRUPO</t>
        </is>
      </c>
      <c r="F1" t="inlineStr">
        <is>
          <t>LEN P1</t>
        </is>
      </c>
      <c r="G1" t="inlineStr">
        <is>
          <t>SyPC P1</t>
        </is>
      </c>
      <c r="H1" t="inlineStr">
        <is>
          <t>ENS P1</t>
        </is>
      </c>
      <c r="I1" t="inlineStr">
        <is>
          <t>HyC P1</t>
        </is>
      </c>
      <c r="J1" t="inlineStr">
        <is>
          <t>PROMEDIO</t>
        </is>
      </c>
      <c r="K1" t="inlineStr">
        <is>
          <t>NIVEL</t>
        </is>
      </c>
    </row>
    <row r="2">
      <c r="A2" t="n">
        <v>1</v>
      </c>
      <c r="B2" t="inlineStr">
        <is>
          <t>HERNANDEZ RAMIREZ LUIS ANGEL</t>
        </is>
      </c>
      <c r="C2" t="inlineStr">
        <is>
          <t>HERL180314HMCRMSA9</t>
        </is>
      </c>
      <c r="D2" t="n">
        <v>1</v>
      </c>
      <c r="E2" t="inlineStr">
        <is>
          <t>A</t>
        </is>
      </c>
      <c r="F2" t="n">
        <v>9</v>
      </c>
      <c r="G2" t="n">
        <v>9</v>
      </c>
      <c r="H2" t="n">
        <v>9</v>
      </c>
      <c r="I2" t="n">
        <v>10</v>
      </c>
      <c r="J2">
        <f>(F2+G2+H2+I2)/4</f>
        <v/>
      </c>
      <c r="K2">
        <f>IF(J2&gt;=8,"ESPERADO",IF(J2&gt;=7,"EN DESARROLLO","REQUIERE APOYO"))</f>
        <v/>
      </c>
    </row>
    <row r="3">
      <c r="A3" t="n">
        <v>2</v>
      </c>
      <c r="B3" t="inlineStr">
        <is>
          <t>MARTINEZ GOMEZ SOFIA</t>
        </is>
      </c>
      <c r="C3" t="inlineStr">
        <is>
          <t>MAGS180520MMCRMSA1</t>
        </is>
      </c>
      <c r="D3" t="n">
        <v>1</v>
      </c>
      <c r="E3" t="inlineStr">
        <is>
          <t>A</t>
        </is>
      </c>
      <c r="F3" t="n">
        <v>8</v>
      </c>
      <c r="G3" t="n">
        <v>8</v>
      </c>
      <c r="H3" t="n">
        <v>9</v>
      </c>
      <c r="I3" t="n">
        <v>8</v>
      </c>
      <c r="J3">
        <f>(F3+G3+H3+I3)/4</f>
        <v/>
      </c>
      <c r="K3">
        <f>IF(J3&gt;=8,"ESPERADO",IF(J3&gt;=7,"EN DESARROLLO","REQUIERE APOYO"))</f>
        <v/>
      </c>
    </row>
    <row r="4">
      <c r="A4" t="n">
        <v>3</v>
      </c>
      <c r="B4" t="inlineStr">
        <is>
          <t>PEREZ LUNA CARLOS</t>
        </is>
      </c>
      <c r="C4" t="inlineStr">
        <is>
          <t>PELC180314HMCRNRA3</t>
        </is>
      </c>
      <c r="D4" t="n">
        <v>2</v>
      </c>
      <c r="E4" t="inlineStr">
        <is>
          <t>A</t>
        </is>
      </c>
      <c r="F4" t="n">
        <v>7</v>
      </c>
      <c r="G4" t="n">
        <v>7</v>
      </c>
      <c r="H4" t="n">
        <v>8</v>
      </c>
      <c r="I4" t="n">
        <v>7</v>
      </c>
      <c r="J4">
        <f>(F4+G4+H4+I4)/4</f>
        <v/>
      </c>
      <c r="K4">
        <f>IF(J4&gt;=8,"ESPERADO",IF(J4&gt;=7,"EN DESARROLLO","REQUIERE APOYO"))</f>
        <v/>
      </c>
    </row>
    <row r="5">
      <c r="A5" t="n">
        <v>4</v>
      </c>
      <c r="B5" t="inlineStr">
        <is>
          <t>TORRES VEGA ANA</t>
        </is>
      </c>
      <c r="C5" t="inlineStr">
        <is>
          <t>TOVA170810MMCRMSA2</t>
        </is>
      </c>
      <c r="D5" t="n">
        <v>2</v>
      </c>
      <c r="E5" t="inlineStr">
        <is>
          <t>A</t>
        </is>
      </c>
      <c r="F5" t="n">
        <v>6</v>
      </c>
      <c r="G5" t="n">
        <v>6</v>
      </c>
      <c r="H5" t="n">
        <v>7</v>
      </c>
      <c r="I5" t="n">
        <v>6</v>
      </c>
      <c r="J5">
        <f>(F5+G5+H5+I5)/4</f>
        <v/>
      </c>
      <c r="K5">
        <f>IF(J5&gt;=8,"ESPERADO",IF(J5&gt;=7,"EN DESARROLLO","REQUIERE APOYO"))</f>
        <v/>
      </c>
    </row>
    <row r="6">
      <c r="A6" t="n">
        <v>5</v>
      </c>
      <c r="B6" t="inlineStr">
        <is>
          <t>CASTRO NAVA DIEGO</t>
        </is>
      </c>
      <c r="C6" t="inlineStr">
        <is>
          <t>CAND160115HMCRMSA8</t>
        </is>
      </c>
      <c r="D6" t="n">
        <v>3</v>
      </c>
      <c r="E6" t="inlineStr">
        <is>
          <t>A</t>
        </is>
      </c>
      <c r="F6" t="n">
        <v>10</v>
      </c>
      <c r="G6" t="n">
        <v>9</v>
      </c>
      <c r="H6" t="n">
        <v>10</v>
      </c>
      <c r="I6" t="n">
        <v>10</v>
      </c>
      <c r="J6">
        <f>(F6+G6+H6+I6)/4</f>
        <v/>
      </c>
      <c r="K6">
        <f>IF(J6&gt;=8,"ESPERADO",IF(J6&gt;=7,"EN DESARROLLO","REQUIERE APOYO"))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2026-10-25T20:27:19Z</dcterms:created>
  <dcterms:modified xsi:type="dcterms:W3CDTF">2026-10-25T20:27:19Z</dcterms:modified>
</cp:coreProperties>
</file>