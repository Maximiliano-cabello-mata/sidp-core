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DEX_PROEEB_OCI_D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</t>
        </is>
      </c>
      <c r="B1" t="inlineStr">
        <is>
          <t>NOMBRE (FICHAS.JSON)</t>
        </is>
      </c>
      <c r="C1" t="inlineStr">
        <is>
          <t>CURP</t>
        </is>
      </c>
      <c r="D1" t="inlineStr">
        <is>
          <t>PROM_12_NOTAS</t>
        </is>
      </c>
      <c r="E1" t="inlineStr">
        <is>
          <t>ACIERTOS_LEN_17</t>
        </is>
      </c>
      <c r="F1" t="inlineStr">
        <is>
          <t>PCT_LEN</t>
        </is>
      </c>
      <c r="G1" t="inlineStr">
        <is>
          <t>ACIERTOS_SAB_29</t>
        </is>
      </c>
      <c r="H1" t="inlineStr">
        <is>
          <t>PCT_SAB</t>
        </is>
      </c>
      <c r="I1" t="inlineStr">
        <is>
          <t>ACIERTOS_ETI_20</t>
        </is>
      </c>
      <c r="J1" t="inlineStr">
        <is>
          <t>PCT_ETI</t>
        </is>
      </c>
      <c r="K1" t="inlineStr">
        <is>
          <t>ACIERTOS_HUM_13</t>
        </is>
      </c>
      <c r="L1" t="inlineStr">
        <is>
          <t>PCT_HUM</t>
        </is>
      </c>
      <c r="M1" t="inlineStr">
        <is>
          <t>GLOBAL_OCI_PCT</t>
        </is>
      </c>
      <c r="N1" t="inlineStr">
        <is>
          <t>DESAYUNO_DIF</t>
        </is>
      </c>
    </row>
    <row r="2">
      <c r="A2" t="n">
        <v>1</v>
      </c>
      <c r="B2" t="inlineStr">
        <is>
          <t>HERNANDEZ RAMIREZ LUIS ANGEL</t>
        </is>
      </c>
      <c r="C2" t="inlineStr">
        <is>
          <t>HERL180314HMCRMSA9</t>
        </is>
      </c>
      <c r="D2" t="n">
        <v>9.25</v>
      </c>
      <c r="E2" t="n">
        <v>15</v>
      </c>
      <c r="F2">
        <f>ROUND(E2*100/17,2)</f>
        <v/>
      </c>
      <c r="G2" t="n">
        <v>25</v>
      </c>
      <c r="H2">
        <f>ROUND(G2*100/29,2)</f>
        <v/>
      </c>
      <c r="I2" t="n">
        <v>18</v>
      </c>
      <c r="J2">
        <f>ROUND(I2*100/20,2)</f>
        <v/>
      </c>
      <c r="K2" t="n">
        <v>12</v>
      </c>
      <c r="L2">
        <f>ROUND(K2*100/13,2)</f>
        <v/>
      </c>
      <c r="M2">
        <f>ROUND((F2+H2+J2+L2)/4,2)</f>
        <v/>
      </c>
      <c r="N2" t="inlineStr">
        <is>
          <t>SI</t>
        </is>
      </c>
    </row>
    <row r="3">
      <c r="A3" t="n">
        <v>2</v>
      </c>
      <c r="B3" t="inlineStr">
        <is>
          <t>MARTINEZ GOMEZ SOFIA</t>
        </is>
      </c>
      <c r="C3" t="inlineStr">
        <is>
          <t>MAGS180520MMCRMSA1</t>
        </is>
      </c>
      <c r="D3" t="n">
        <v>9.25</v>
      </c>
      <c r="E3" t="n">
        <v>15</v>
      </c>
      <c r="F3">
        <f>ROUND(E3*100/17,2)</f>
        <v/>
      </c>
      <c r="G3" t="n">
        <v>25</v>
      </c>
      <c r="H3">
        <f>ROUND(G3*100/29,2)</f>
        <v/>
      </c>
      <c r="I3" t="n">
        <v>18</v>
      </c>
      <c r="J3">
        <f>ROUND(I3*100/20,2)</f>
        <v/>
      </c>
      <c r="K3" t="n">
        <v>12</v>
      </c>
      <c r="L3">
        <f>ROUND(K3*100/13,2)</f>
        <v/>
      </c>
      <c r="M3">
        <f>ROUND((F3+H3+J3+L3)/4,2)</f>
        <v/>
      </c>
      <c r="N3" t="inlineStr">
        <is>
          <t>SI</t>
        </is>
      </c>
    </row>
    <row r="4">
      <c r="A4" t="n">
        <v>3</v>
      </c>
      <c r="B4" t="inlineStr">
        <is>
          <t>PEREZ LUNA CARLOS</t>
        </is>
      </c>
      <c r="C4" t="inlineStr">
        <is>
          <t>PELC180314HMCRNRA3</t>
        </is>
      </c>
      <c r="D4" t="n">
        <v>9.25</v>
      </c>
      <c r="E4" t="n">
        <v>15</v>
      </c>
      <c r="F4">
        <f>ROUND(E4*100/17,2)</f>
        <v/>
      </c>
      <c r="G4" t="n">
        <v>25</v>
      </c>
      <c r="H4">
        <f>ROUND(G4*100/29,2)</f>
        <v/>
      </c>
      <c r="I4" t="n">
        <v>18</v>
      </c>
      <c r="J4">
        <f>ROUND(I4*100/20,2)</f>
        <v/>
      </c>
      <c r="K4" t="n">
        <v>12</v>
      </c>
      <c r="L4">
        <f>ROUND(K4*100/13,2)</f>
        <v/>
      </c>
      <c r="M4">
        <f>ROUND((F4+H4+J4+L4)/4,2)</f>
        <v/>
      </c>
      <c r="N4" t="inlineStr">
        <is>
          <t>SI</t>
        </is>
      </c>
    </row>
    <row r="5">
      <c r="A5" t="n">
        <v>4</v>
      </c>
      <c r="B5" t="inlineStr">
        <is>
          <t>TORRES VEGA ANA</t>
        </is>
      </c>
      <c r="C5" t="inlineStr">
        <is>
          <t>TOVA170810MMCRMSA2</t>
        </is>
      </c>
      <c r="D5" t="n">
        <v>9.25</v>
      </c>
      <c r="E5" t="n">
        <v>15</v>
      </c>
      <c r="F5">
        <f>ROUND(E5*100/17,2)</f>
        <v/>
      </c>
      <c r="G5" t="n">
        <v>25</v>
      </c>
      <c r="H5">
        <f>ROUND(G5*100/29,2)</f>
        <v/>
      </c>
      <c r="I5" t="n">
        <v>18</v>
      </c>
      <c r="J5">
        <f>ROUND(I5*100/20,2)</f>
        <v/>
      </c>
      <c r="K5" t="n">
        <v>12</v>
      </c>
      <c r="L5">
        <f>ROUND(K5*100/13,2)</f>
        <v/>
      </c>
      <c r="M5">
        <f>ROUND((F5+H5+J5+L5)/4,2)</f>
        <v/>
      </c>
      <c r="N5" t="inlineStr">
        <is>
          <t>SI</t>
        </is>
      </c>
    </row>
    <row r="6">
      <c r="A6" t="n">
        <v>5</v>
      </c>
      <c r="B6" t="inlineStr">
        <is>
          <t>CASTRO NAVA DIEGO</t>
        </is>
      </c>
      <c r="C6" t="inlineStr">
        <is>
          <t>CAND160115HMCRMSA8</t>
        </is>
      </c>
      <c r="D6" t="n">
        <v>9.25</v>
      </c>
      <c r="E6" t="n">
        <v>15</v>
      </c>
      <c r="F6">
        <f>ROUND(E6*100/17,2)</f>
        <v/>
      </c>
      <c r="G6" t="n">
        <v>25</v>
      </c>
      <c r="H6">
        <f>ROUND(G6*100/29,2)</f>
        <v/>
      </c>
      <c r="I6" t="n">
        <v>18</v>
      </c>
      <c r="J6">
        <f>ROUND(I6*100/20,2)</f>
        <v/>
      </c>
      <c r="K6" t="n">
        <v>12</v>
      </c>
      <c r="L6">
        <f>ROUND(K6*100/13,2)</f>
        <v/>
      </c>
      <c r="M6">
        <f>ROUND((F6+H6+J6+L6)/4,2)</f>
        <v/>
      </c>
      <c r="N6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2026-10-25T20:27:48Z</dcterms:created>
  <dcterms:modified xsi:type="dcterms:W3CDTF">2026-10-25T20:27:48Z</dcterms:modified>
</cp:coreProperties>
</file>