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_911" sheetId="1" state="visible" r:id="rId1"/>
    <sheet name="911_INICIO_RESUMEN" sheetId="2" state="visible" r:id="rId2"/>
    <sheet name="SABANA_MOVIMIENTOS_SI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N7"/>
  <sheetViews>
    <sheetView workbookViewId="0">
      <selection activeCell="A1" sqref="A1"/>
    </sheetView>
  </sheetViews>
  <sheetFormatPr baseColWidth="8" defaultRowHeight="15"/>
  <sheetData>
    <row r="3">
      <c r="J3" t="inlineStr">
        <is>
          <t>2026-09-01</t>
        </is>
      </c>
    </row>
    <row r="4">
      <c r="A4" t="inlineStr">
        <is>
          <t>ID</t>
        </is>
      </c>
      <c r="B4" t="inlineStr">
        <is>
          <t>CURP</t>
        </is>
      </c>
      <c r="C4" t="inlineStr">
        <is>
          <t>PATERNO</t>
        </is>
      </c>
      <c r="D4" t="inlineStr">
        <is>
          <t>MATERNO</t>
        </is>
      </c>
      <c r="E4" t="inlineStr">
        <is>
          <t>NOMBRE</t>
        </is>
      </c>
      <c r="F4" t="inlineStr">
        <is>
          <t>GRADO</t>
        </is>
      </c>
      <c r="G4" t="inlineStr">
        <is>
          <t>GRUPO</t>
        </is>
      </c>
      <c r="H4" t="inlineStr">
        <is>
          <t>ESTATUS</t>
        </is>
      </c>
      <c r="I4" t="inlineStr">
        <is>
          <t>SEXO</t>
        </is>
      </c>
      <c r="J4" t="inlineStr">
        <is>
          <t>FECHA_NAC</t>
        </is>
      </c>
      <c r="K4" t="inlineStr">
        <is>
          <t>EDAD</t>
        </is>
      </c>
      <c r="L4" t="inlineStr">
        <is>
          <t>EDAD_ESTADISTICA</t>
        </is>
      </c>
      <c r="M4" t="inlineStr">
        <is>
          <t>USAER</t>
        </is>
      </c>
      <c r="N4" t="inlineStr">
        <is>
          <t>INDIGENA</t>
        </is>
      </c>
    </row>
    <row r="5">
      <c r="A5" t="n">
        <v>1</v>
      </c>
      <c r="B5" t="inlineStr">
        <is>
          <t>GALM200515HDFRRA01</t>
        </is>
      </c>
      <c r="C5" t="inlineStr">
        <is>
          <t>GARCIA</t>
        </is>
      </c>
      <c r="D5" t="inlineStr">
        <is>
          <t>LOPEZ</t>
        </is>
      </c>
      <c r="E5" t="inlineStr">
        <is>
          <t>MATEO EJEMPLO</t>
        </is>
      </c>
      <c r="F5" t="n">
        <v>1</v>
      </c>
      <c r="G5" t="inlineStr">
        <is>
          <t>A</t>
        </is>
      </c>
      <c r="H5" t="inlineStr">
        <is>
          <t>INSCRITO</t>
        </is>
      </c>
      <c r="I5">
        <f>MID(B5,11,1)</f>
        <v/>
      </c>
      <c r="J5">
        <f>DATE(IF(VALUE(MID(B5,5,2))&gt;30,1900+VALUE(MID(B5,5,2)),2000+VALUE(MID(B5,5,2))),VALUE(MID(B5,7,2)),VALUE(MID(B5,9,2)))</f>
        <v/>
      </c>
      <c r="K5">
        <f>DATEDIF(J5,$J$3,"Y")</f>
        <v/>
      </c>
      <c r="L5">
        <f>IF(K5&lt;6,"&lt;6",IF(K5&gt;14,"15+",K5))</f>
        <v/>
      </c>
      <c r="M5" t="inlineStr">
        <is>
          <t>NO</t>
        </is>
      </c>
      <c r="N5" t="inlineStr">
        <is>
          <t>NO</t>
        </is>
      </c>
    </row>
    <row r="6">
      <c r="A6" t="n">
        <v>2</v>
      </c>
      <c r="B6" t="inlineStr">
        <is>
          <t>MASS180822MDFRRA02</t>
        </is>
      </c>
      <c r="C6" t="inlineStr">
        <is>
          <t>MARTINEZ</t>
        </is>
      </c>
      <c r="D6" t="inlineStr">
        <is>
          <t>SANCHEZ</t>
        </is>
      </c>
      <c r="E6" t="inlineStr">
        <is>
          <t>SOFIA EJEMPLO</t>
        </is>
      </c>
      <c r="F6" t="n">
        <v>3</v>
      </c>
      <c r="G6" t="inlineStr">
        <is>
          <t>A</t>
        </is>
      </c>
      <c r="H6" t="inlineStr">
        <is>
          <t>INSCRITO</t>
        </is>
      </c>
      <c r="I6">
        <f>MID(B6,11,1)</f>
        <v/>
      </c>
      <c r="J6">
        <f>DATE(IF(VALUE(MID(B6,5,2))&gt;30,1900+VALUE(MID(B6,5,2)),2000+VALUE(MID(B6,5,2))),VALUE(MID(B6,7,2)),VALUE(MID(B6,9,2)))</f>
        <v/>
      </c>
      <c r="K6">
        <f>DATEDIF(J6,$J$3,"Y")</f>
        <v/>
      </c>
      <c r="L6">
        <f>IF(K6&lt;6,"&lt;6",IF(K6&gt;14,"15+",K6))</f>
        <v/>
      </c>
      <c r="M6" t="inlineStr">
        <is>
          <t>NO</t>
        </is>
      </c>
      <c r="N6" t="inlineStr">
        <is>
          <t>NO</t>
        </is>
      </c>
    </row>
    <row r="7">
      <c r="A7" t="n">
        <v>3</v>
      </c>
      <c r="B7" t="inlineStr">
        <is>
          <t>ROVA150310HMCRVA03</t>
        </is>
      </c>
      <c r="C7" t="inlineStr">
        <is>
          <t>RODRIGUEZ</t>
        </is>
      </c>
      <c r="D7" t="inlineStr">
        <is>
          <t>VARGAS</t>
        </is>
      </c>
      <c r="E7" t="inlineStr">
        <is>
          <t>ALEJANDRO EJEMPLO</t>
        </is>
      </c>
      <c r="F7" t="n">
        <v>6</v>
      </c>
      <c r="G7" t="inlineStr">
        <is>
          <t>A</t>
        </is>
      </c>
      <c r="H7" t="inlineStr">
        <is>
          <t>REPETIDOR</t>
        </is>
      </c>
      <c r="I7">
        <f>MID(B7,11,1)</f>
        <v/>
      </c>
      <c r="J7">
        <f>DATE(IF(VALUE(MID(B7,5,2))&gt;30,1900+VALUE(MID(B7,5,2)),2000+VALUE(MID(B7,5,2))),VALUE(MID(B7,7,2)),VALUE(MID(B7,9,2)))</f>
        <v/>
      </c>
      <c r="K7">
        <f>DATEDIF(J7,$J$3,"Y")</f>
        <v/>
      </c>
      <c r="L7">
        <f>IF(K7&lt;6,"&lt;6",IF(K7&gt;14,"15+",K7))</f>
        <v/>
      </c>
      <c r="M7" t="inlineStr">
        <is>
          <t>NO</t>
        </is>
      </c>
      <c r="N7" t="inlineStr">
        <is>
          <t>NO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GRADO</t>
        </is>
      </c>
      <c r="B1" t="inlineStr">
        <is>
          <t>CONCEPTO</t>
        </is>
      </c>
      <c r="C1" t="inlineStr">
        <is>
          <t>SEXO</t>
        </is>
      </c>
      <c r="D1" t="inlineStr">
        <is>
          <t>&lt;6</t>
        </is>
      </c>
      <c r="E1" t="inlineStr">
        <is>
          <t>6</t>
        </is>
      </c>
      <c r="F1" t="inlineStr">
        <is>
          <t>7</t>
        </is>
      </c>
      <c r="G1" t="inlineStr">
        <is>
          <t>8</t>
        </is>
      </c>
      <c r="H1" t="inlineStr">
        <is>
          <t>9</t>
        </is>
      </c>
      <c r="I1" t="inlineStr">
        <is>
          <t>10</t>
        </is>
      </c>
      <c r="J1" t="inlineStr">
        <is>
          <t>11</t>
        </is>
      </c>
      <c r="K1" t="inlineStr">
        <is>
          <t>12</t>
        </is>
      </c>
      <c r="L1" t="inlineStr">
        <is>
          <t>13</t>
        </is>
      </c>
      <c r="M1" t="inlineStr">
        <is>
          <t>14</t>
        </is>
      </c>
      <c r="N1" t="inlineStr">
        <is>
          <t>15+</t>
        </is>
      </c>
      <c r="O1" t="inlineStr">
        <is>
          <t>TOTAL</t>
        </is>
      </c>
    </row>
    <row r="2">
      <c r="A2" t="n">
        <v>1</v>
      </c>
      <c r="B2" t="inlineStr">
        <is>
          <t>INSCRITO</t>
        </is>
      </c>
      <c r="C2" t="inlineStr">
        <is>
          <t>H</t>
        </is>
      </c>
      <c r="D2">
        <f>COUNTIFS(BASE_911!$F:$F,1,BASE_911!$H:$H,"INSCRITO",BASE_911!$I:$I,"H",BASE_911!$L:$L,"&lt;6")</f>
        <v/>
      </c>
      <c r="E2">
        <f>COUNTIFS(BASE_911!$F:$F,1,BASE_911!$H:$H,"INSCRITO",BASE_911!$I:$I,"H",BASE_911!$L:$L,"6")</f>
        <v/>
      </c>
      <c r="F2">
        <f>COUNTIFS(BASE_911!$F:$F,1,BASE_911!$H:$H,"INSCRITO",BASE_911!$I:$I,"H",BASE_911!$L:$L,"7")</f>
        <v/>
      </c>
      <c r="G2">
        <f>COUNTIFS(BASE_911!$F:$F,1,BASE_911!$H:$H,"INSCRITO",BASE_911!$I:$I,"H",BASE_911!$L:$L,"8")</f>
        <v/>
      </c>
      <c r="H2">
        <f>COUNTIFS(BASE_911!$F:$F,1,BASE_911!$H:$H,"INSCRITO",BASE_911!$I:$I,"H",BASE_911!$L:$L,"9")</f>
        <v/>
      </c>
      <c r="I2">
        <f>COUNTIFS(BASE_911!$F:$F,1,BASE_911!$H:$H,"INSCRITO",BASE_911!$I:$I,"H",BASE_911!$L:$L,"10")</f>
        <v/>
      </c>
      <c r="J2">
        <f>COUNTIFS(BASE_911!$F:$F,1,BASE_911!$H:$H,"INSCRITO",BASE_911!$I:$I,"H",BASE_911!$L:$L,"11")</f>
        <v/>
      </c>
      <c r="K2">
        <f>COUNTIFS(BASE_911!$F:$F,1,BASE_911!$H:$H,"INSCRITO",BASE_911!$I:$I,"H",BASE_911!$L:$L,"12")</f>
        <v/>
      </c>
      <c r="L2">
        <f>COUNTIFS(BASE_911!$F:$F,1,BASE_911!$H:$H,"INSCRITO",BASE_911!$I:$I,"H",BASE_911!$L:$L,"13")</f>
        <v/>
      </c>
      <c r="M2">
        <f>COUNTIFS(BASE_911!$F:$F,1,BASE_911!$H:$H,"INSCRITO",BASE_911!$I:$I,"H",BASE_911!$L:$L,"14")</f>
        <v/>
      </c>
      <c r="N2">
        <f>COUNTIFS(BASE_911!$F:$F,1,BASE_911!$H:$H,"INSCRITO",BASE_911!$I:$I,"H",BASE_911!$L:$L,"15+")</f>
        <v/>
      </c>
      <c r="O2">
        <f>SUM(D2:N2)</f>
        <v/>
      </c>
    </row>
    <row r="3">
      <c r="A3" t="n">
        <v>1</v>
      </c>
      <c r="B3" t="inlineStr">
        <is>
          <t>INSCRITO</t>
        </is>
      </c>
      <c r="C3" t="inlineStr">
        <is>
          <t>M</t>
        </is>
      </c>
      <c r="D3">
        <f>COUNTIFS(BASE_911!$F:$F,1,BASE_911!$H:$H,"INSCRITO",BASE_911!$I:$I,"M",BASE_911!$L:$L,"&lt;6")</f>
        <v/>
      </c>
      <c r="E3">
        <f>COUNTIFS(BASE_911!$F:$F,1,BASE_911!$H:$H,"INSCRITO",BASE_911!$I:$I,"M",BASE_911!$L:$L,"6")</f>
        <v/>
      </c>
      <c r="F3">
        <f>COUNTIFS(BASE_911!$F:$F,1,BASE_911!$H:$H,"INSCRITO",BASE_911!$I:$I,"M",BASE_911!$L:$L,"7")</f>
        <v/>
      </c>
      <c r="G3">
        <f>COUNTIFS(BASE_911!$F:$F,1,BASE_911!$H:$H,"INSCRITO",BASE_911!$I:$I,"M",BASE_911!$L:$L,"8")</f>
        <v/>
      </c>
      <c r="H3">
        <f>COUNTIFS(BASE_911!$F:$F,1,BASE_911!$H:$H,"INSCRITO",BASE_911!$I:$I,"M",BASE_911!$L:$L,"9")</f>
        <v/>
      </c>
      <c r="I3">
        <f>COUNTIFS(BASE_911!$F:$F,1,BASE_911!$H:$H,"INSCRITO",BASE_911!$I:$I,"M",BASE_911!$L:$L,"10")</f>
        <v/>
      </c>
      <c r="J3">
        <f>COUNTIFS(BASE_911!$F:$F,1,BASE_911!$H:$H,"INSCRITO",BASE_911!$I:$I,"M",BASE_911!$L:$L,"11")</f>
        <v/>
      </c>
      <c r="K3">
        <f>COUNTIFS(BASE_911!$F:$F,1,BASE_911!$H:$H,"INSCRITO",BASE_911!$I:$I,"M",BASE_911!$L:$L,"12")</f>
        <v/>
      </c>
      <c r="L3">
        <f>COUNTIFS(BASE_911!$F:$F,1,BASE_911!$H:$H,"INSCRITO",BASE_911!$I:$I,"M",BASE_911!$L:$L,"13")</f>
        <v/>
      </c>
      <c r="M3">
        <f>COUNTIFS(BASE_911!$F:$F,1,BASE_911!$H:$H,"INSCRITO",BASE_911!$I:$I,"M",BASE_911!$L:$L,"14")</f>
        <v/>
      </c>
      <c r="N3">
        <f>COUNTIFS(BASE_911!$F:$F,1,BASE_911!$H:$H,"INSCRITO",BASE_911!$I:$I,"M",BASE_911!$L:$L,"15+")</f>
        <v/>
      </c>
      <c r="O3">
        <f>SUM(D3:N3)</f>
        <v/>
      </c>
    </row>
    <row r="4">
      <c r="A4" t="n">
        <v>1</v>
      </c>
      <c r="B4" t="inlineStr">
        <is>
          <t>REPETIDOR</t>
        </is>
      </c>
      <c r="C4" t="inlineStr">
        <is>
          <t>H</t>
        </is>
      </c>
      <c r="D4">
        <f>COUNTIFS(BASE_911!$F:$F,1,BASE_911!$H:$H,"REPETIDOR",BASE_911!$I:$I,"H",BASE_911!$L:$L,"&lt;6")</f>
        <v/>
      </c>
      <c r="E4">
        <f>COUNTIFS(BASE_911!$F:$F,1,BASE_911!$H:$H,"REPETIDOR",BASE_911!$I:$I,"H",BASE_911!$L:$L,"6")</f>
        <v/>
      </c>
      <c r="F4">
        <f>COUNTIFS(BASE_911!$F:$F,1,BASE_911!$H:$H,"REPETIDOR",BASE_911!$I:$I,"H",BASE_911!$L:$L,"7")</f>
        <v/>
      </c>
      <c r="G4">
        <f>COUNTIFS(BASE_911!$F:$F,1,BASE_911!$H:$H,"REPETIDOR",BASE_911!$I:$I,"H",BASE_911!$L:$L,"8")</f>
        <v/>
      </c>
      <c r="H4">
        <f>COUNTIFS(BASE_911!$F:$F,1,BASE_911!$H:$H,"REPETIDOR",BASE_911!$I:$I,"H",BASE_911!$L:$L,"9")</f>
        <v/>
      </c>
      <c r="I4">
        <f>COUNTIFS(BASE_911!$F:$F,1,BASE_911!$H:$H,"REPETIDOR",BASE_911!$I:$I,"H",BASE_911!$L:$L,"10")</f>
        <v/>
      </c>
      <c r="J4">
        <f>COUNTIFS(BASE_911!$F:$F,1,BASE_911!$H:$H,"REPETIDOR",BASE_911!$I:$I,"H",BASE_911!$L:$L,"11")</f>
        <v/>
      </c>
      <c r="K4">
        <f>COUNTIFS(BASE_911!$F:$F,1,BASE_911!$H:$H,"REPETIDOR",BASE_911!$I:$I,"H",BASE_911!$L:$L,"12")</f>
        <v/>
      </c>
      <c r="L4">
        <f>COUNTIFS(BASE_911!$F:$F,1,BASE_911!$H:$H,"REPETIDOR",BASE_911!$I:$I,"H",BASE_911!$L:$L,"13")</f>
        <v/>
      </c>
      <c r="M4">
        <f>COUNTIFS(BASE_911!$F:$F,1,BASE_911!$H:$H,"REPETIDOR",BASE_911!$I:$I,"H",BASE_911!$L:$L,"14")</f>
        <v/>
      </c>
      <c r="N4">
        <f>COUNTIFS(BASE_911!$F:$F,1,BASE_911!$H:$H,"REPETIDOR",BASE_911!$I:$I,"H",BASE_911!$L:$L,"15+")</f>
        <v/>
      </c>
      <c r="O4">
        <f>SUM(D4:N4)</f>
        <v/>
      </c>
    </row>
    <row r="5">
      <c r="A5" t="n">
        <v>1</v>
      </c>
      <c r="B5" t="inlineStr">
        <is>
          <t>REPETIDOR</t>
        </is>
      </c>
      <c r="C5" t="inlineStr">
        <is>
          <t>M</t>
        </is>
      </c>
      <c r="D5">
        <f>COUNTIFS(BASE_911!$F:$F,1,BASE_911!$H:$H,"REPETIDOR",BASE_911!$I:$I,"M",BASE_911!$L:$L,"&lt;6")</f>
        <v/>
      </c>
      <c r="E5">
        <f>COUNTIFS(BASE_911!$F:$F,1,BASE_911!$H:$H,"REPETIDOR",BASE_911!$I:$I,"M",BASE_911!$L:$L,"6")</f>
        <v/>
      </c>
      <c r="F5">
        <f>COUNTIFS(BASE_911!$F:$F,1,BASE_911!$H:$H,"REPETIDOR",BASE_911!$I:$I,"M",BASE_911!$L:$L,"7")</f>
        <v/>
      </c>
      <c r="G5">
        <f>COUNTIFS(BASE_911!$F:$F,1,BASE_911!$H:$H,"REPETIDOR",BASE_911!$I:$I,"M",BASE_911!$L:$L,"8")</f>
        <v/>
      </c>
      <c r="H5">
        <f>COUNTIFS(BASE_911!$F:$F,1,BASE_911!$H:$H,"REPETIDOR",BASE_911!$I:$I,"M",BASE_911!$L:$L,"9")</f>
        <v/>
      </c>
      <c r="I5">
        <f>COUNTIFS(BASE_911!$F:$F,1,BASE_911!$H:$H,"REPETIDOR",BASE_911!$I:$I,"M",BASE_911!$L:$L,"10")</f>
        <v/>
      </c>
      <c r="J5">
        <f>COUNTIFS(BASE_911!$F:$F,1,BASE_911!$H:$H,"REPETIDOR",BASE_911!$I:$I,"M",BASE_911!$L:$L,"11")</f>
        <v/>
      </c>
      <c r="K5">
        <f>COUNTIFS(BASE_911!$F:$F,1,BASE_911!$H:$H,"REPETIDOR",BASE_911!$I:$I,"M",BASE_911!$L:$L,"12")</f>
        <v/>
      </c>
      <c r="L5">
        <f>COUNTIFS(BASE_911!$F:$F,1,BASE_911!$H:$H,"REPETIDOR",BASE_911!$I:$I,"M",BASE_911!$L:$L,"13")</f>
        <v/>
      </c>
      <c r="M5">
        <f>COUNTIFS(BASE_911!$F:$F,1,BASE_911!$H:$H,"REPETIDOR",BASE_911!$I:$I,"M",BASE_911!$L:$L,"14")</f>
        <v/>
      </c>
      <c r="N5">
        <f>COUNTIFS(BASE_911!$F:$F,1,BASE_911!$H:$H,"REPETIDOR",BASE_911!$I:$I,"M",BASE_911!$L:$L,"15+")</f>
        <v/>
      </c>
      <c r="O5">
        <f>SUM(D5:N5)</f>
        <v/>
      </c>
    </row>
    <row r="6">
      <c r="A6" t="n">
        <v>2</v>
      </c>
      <c r="B6" t="inlineStr">
        <is>
          <t>INSCRITO</t>
        </is>
      </c>
      <c r="C6" t="inlineStr">
        <is>
          <t>H</t>
        </is>
      </c>
      <c r="D6">
        <f>COUNTIFS(BASE_911!$F:$F,2,BASE_911!$H:$H,"INSCRITO",BASE_911!$I:$I,"H",BASE_911!$L:$L,"&lt;6")</f>
        <v/>
      </c>
      <c r="E6">
        <f>COUNTIFS(BASE_911!$F:$F,2,BASE_911!$H:$H,"INSCRITO",BASE_911!$I:$I,"H",BASE_911!$L:$L,"6")</f>
        <v/>
      </c>
      <c r="F6">
        <f>COUNTIFS(BASE_911!$F:$F,2,BASE_911!$H:$H,"INSCRITO",BASE_911!$I:$I,"H",BASE_911!$L:$L,"7")</f>
        <v/>
      </c>
      <c r="G6">
        <f>COUNTIFS(BASE_911!$F:$F,2,BASE_911!$H:$H,"INSCRITO",BASE_911!$I:$I,"H",BASE_911!$L:$L,"8")</f>
        <v/>
      </c>
      <c r="H6">
        <f>COUNTIFS(BASE_911!$F:$F,2,BASE_911!$H:$H,"INSCRITO",BASE_911!$I:$I,"H",BASE_911!$L:$L,"9")</f>
        <v/>
      </c>
      <c r="I6">
        <f>COUNTIFS(BASE_911!$F:$F,2,BASE_911!$H:$H,"INSCRITO",BASE_911!$I:$I,"H",BASE_911!$L:$L,"10")</f>
        <v/>
      </c>
      <c r="J6">
        <f>COUNTIFS(BASE_911!$F:$F,2,BASE_911!$H:$H,"INSCRITO",BASE_911!$I:$I,"H",BASE_911!$L:$L,"11")</f>
        <v/>
      </c>
      <c r="K6">
        <f>COUNTIFS(BASE_911!$F:$F,2,BASE_911!$H:$H,"INSCRITO",BASE_911!$I:$I,"H",BASE_911!$L:$L,"12")</f>
        <v/>
      </c>
      <c r="L6">
        <f>COUNTIFS(BASE_911!$F:$F,2,BASE_911!$H:$H,"INSCRITO",BASE_911!$I:$I,"H",BASE_911!$L:$L,"13")</f>
        <v/>
      </c>
      <c r="M6">
        <f>COUNTIFS(BASE_911!$F:$F,2,BASE_911!$H:$H,"INSCRITO",BASE_911!$I:$I,"H",BASE_911!$L:$L,"14")</f>
        <v/>
      </c>
      <c r="N6">
        <f>COUNTIFS(BASE_911!$F:$F,2,BASE_911!$H:$H,"INSCRITO",BASE_911!$I:$I,"H",BASE_911!$L:$L,"15+")</f>
        <v/>
      </c>
      <c r="O6">
        <f>SUM(D6:N6)</f>
        <v/>
      </c>
    </row>
    <row r="7">
      <c r="A7" t="n">
        <v>2</v>
      </c>
      <c r="B7" t="inlineStr">
        <is>
          <t>INSCRITO</t>
        </is>
      </c>
      <c r="C7" t="inlineStr">
        <is>
          <t>M</t>
        </is>
      </c>
      <c r="D7">
        <f>COUNTIFS(BASE_911!$F:$F,2,BASE_911!$H:$H,"INSCRITO",BASE_911!$I:$I,"M",BASE_911!$L:$L,"&lt;6")</f>
        <v/>
      </c>
      <c r="E7">
        <f>COUNTIFS(BASE_911!$F:$F,2,BASE_911!$H:$H,"INSCRITO",BASE_911!$I:$I,"M",BASE_911!$L:$L,"6")</f>
        <v/>
      </c>
      <c r="F7">
        <f>COUNTIFS(BASE_911!$F:$F,2,BASE_911!$H:$H,"INSCRITO",BASE_911!$I:$I,"M",BASE_911!$L:$L,"7")</f>
        <v/>
      </c>
      <c r="G7">
        <f>COUNTIFS(BASE_911!$F:$F,2,BASE_911!$H:$H,"INSCRITO",BASE_911!$I:$I,"M",BASE_911!$L:$L,"8")</f>
        <v/>
      </c>
      <c r="H7">
        <f>COUNTIFS(BASE_911!$F:$F,2,BASE_911!$H:$H,"INSCRITO",BASE_911!$I:$I,"M",BASE_911!$L:$L,"9")</f>
        <v/>
      </c>
      <c r="I7">
        <f>COUNTIFS(BASE_911!$F:$F,2,BASE_911!$H:$H,"INSCRITO",BASE_911!$I:$I,"M",BASE_911!$L:$L,"10")</f>
        <v/>
      </c>
      <c r="J7">
        <f>COUNTIFS(BASE_911!$F:$F,2,BASE_911!$H:$H,"INSCRITO",BASE_911!$I:$I,"M",BASE_911!$L:$L,"11")</f>
        <v/>
      </c>
      <c r="K7">
        <f>COUNTIFS(BASE_911!$F:$F,2,BASE_911!$H:$H,"INSCRITO",BASE_911!$I:$I,"M",BASE_911!$L:$L,"12")</f>
        <v/>
      </c>
      <c r="L7">
        <f>COUNTIFS(BASE_911!$F:$F,2,BASE_911!$H:$H,"INSCRITO",BASE_911!$I:$I,"M",BASE_911!$L:$L,"13")</f>
        <v/>
      </c>
      <c r="M7">
        <f>COUNTIFS(BASE_911!$F:$F,2,BASE_911!$H:$H,"INSCRITO",BASE_911!$I:$I,"M",BASE_911!$L:$L,"14")</f>
        <v/>
      </c>
      <c r="N7">
        <f>COUNTIFS(BASE_911!$F:$F,2,BASE_911!$H:$H,"INSCRITO",BASE_911!$I:$I,"M",BASE_911!$L:$L,"15+")</f>
        <v/>
      </c>
      <c r="O7">
        <f>SUM(D7:N7)</f>
        <v/>
      </c>
    </row>
    <row r="8">
      <c r="A8" t="n">
        <v>2</v>
      </c>
      <c r="B8" t="inlineStr">
        <is>
          <t>REPETIDOR</t>
        </is>
      </c>
      <c r="C8" t="inlineStr">
        <is>
          <t>H</t>
        </is>
      </c>
      <c r="D8">
        <f>COUNTIFS(BASE_911!$F:$F,2,BASE_911!$H:$H,"REPETIDOR",BASE_911!$I:$I,"H",BASE_911!$L:$L,"&lt;6")</f>
        <v/>
      </c>
      <c r="E8">
        <f>COUNTIFS(BASE_911!$F:$F,2,BASE_911!$H:$H,"REPETIDOR",BASE_911!$I:$I,"H",BASE_911!$L:$L,"6")</f>
        <v/>
      </c>
      <c r="F8">
        <f>COUNTIFS(BASE_911!$F:$F,2,BASE_911!$H:$H,"REPETIDOR",BASE_911!$I:$I,"H",BASE_911!$L:$L,"7")</f>
        <v/>
      </c>
      <c r="G8">
        <f>COUNTIFS(BASE_911!$F:$F,2,BASE_911!$H:$H,"REPETIDOR",BASE_911!$I:$I,"H",BASE_911!$L:$L,"8")</f>
        <v/>
      </c>
      <c r="H8">
        <f>COUNTIFS(BASE_911!$F:$F,2,BASE_911!$H:$H,"REPETIDOR",BASE_911!$I:$I,"H",BASE_911!$L:$L,"9")</f>
        <v/>
      </c>
      <c r="I8">
        <f>COUNTIFS(BASE_911!$F:$F,2,BASE_911!$H:$H,"REPETIDOR",BASE_911!$I:$I,"H",BASE_911!$L:$L,"10")</f>
        <v/>
      </c>
      <c r="J8">
        <f>COUNTIFS(BASE_911!$F:$F,2,BASE_911!$H:$H,"REPETIDOR",BASE_911!$I:$I,"H",BASE_911!$L:$L,"11")</f>
        <v/>
      </c>
      <c r="K8">
        <f>COUNTIFS(BASE_911!$F:$F,2,BASE_911!$H:$H,"REPETIDOR",BASE_911!$I:$I,"H",BASE_911!$L:$L,"12")</f>
        <v/>
      </c>
      <c r="L8">
        <f>COUNTIFS(BASE_911!$F:$F,2,BASE_911!$H:$H,"REPETIDOR",BASE_911!$I:$I,"H",BASE_911!$L:$L,"13")</f>
        <v/>
      </c>
      <c r="M8">
        <f>COUNTIFS(BASE_911!$F:$F,2,BASE_911!$H:$H,"REPETIDOR",BASE_911!$I:$I,"H",BASE_911!$L:$L,"14")</f>
        <v/>
      </c>
      <c r="N8">
        <f>COUNTIFS(BASE_911!$F:$F,2,BASE_911!$H:$H,"REPETIDOR",BASE_911!$I:$I,"H",BASE_911!$L:$L,"15+")</f>
        <v/>
      </c>
      <c r="O8">
        <f>SUM(D8:N8)</f>
        <v/>
      </c>
    </row>
    <row r="9">
      <c r="A9" t="n">
        <v>2</v>
      </c>
      <c r="B9" t="inlineStr">
        <is>
          <t>REPETIDOR</t>
        </is>
      </c>
      <c r="C9" t="inlineStr">
        <is>
          <t>M</t>
        </is>
      </c>
      <c r="D9">
        <f>COUNTIFS(BASE_911!$F:$F,2,BASE_911!$H:$H,"REPETIDOR",BASE_911!$I:$I,"M",BASE_911!$L:$L,"&lt;6")</f>
        <v/>
      </c>
      <c r="E9">
        <f>COUNTIFS(BASE_911!$F:$F,2,BASE_911!$H:$H,"REPETIDOR",BASE_911!$I:$I,"M",BASE_911!$L:$L,"6")</f>
        <v/>
      </c>
      <c r="F9">
        <f>COUNTIFS(BASE_911!$F:$F,2,BASE_911!$H:$H,"REPETIDOR",BASE_911!$I:$I,"M",BASE_911!$L:$L,"7")</f>
        <v/>
      </c>
      <c r="G9">
        <f>COUNTIFS(BASE_911!$F:$F,2,BASE_911!$H:$H,"REPETIDOR",BASE_911!$I:$I,"M",BASE_911!$L:$L,"8")</f>
        <v/>
      </c>
      <c r="H9">
        <f>COUNTIFS(BASE_911!$F:$F,2,BASE_911!$H:$H,"REPETIDOR",BASE_911!$I:$I,"M",BASE_911!$L:$L,"9")</f>
        <v/>
      </c>
      <c r="I9">
        <f>COUNTIFS(BASE_911!$F:$F,2,BASE_911!$H:$H,"REPETIDOR",BASE_911!$I:$I,"M",BASE_911!$L:$L,"10")</f>
        <v/>
      </c>
      <c r="J9">
        <f>COUNTIFS(BASE_911!$F:$F,2,BASE_911!$H:$H,"REPETIDOR",BASE_911!$I:$I,"M",BASE_911!$L:$L,"11")</f>
        <v/>
      </c>
      <c r="K9">
        <f>COUNTIFS(BASE_911!$F:$F,2,BASE_911!$H:$H,"REPETIDOR",BASE_911!$I:$I,"M",BASE_911!$L:$L,"12")</f>
        <v/>
      </c>
      <c r="L9">
        <f>COUNTIFS(BASE_911!$F:$F,2,BASE_911!$H:$H,"REPETIDOR",BASE_911!$I:$I,"M",BASE_911!$L:$L,"13")</f>
        <v/>
      </c>
      <c r="M9">
        <f>COUNTIFS(BASE_911!$F:$F,2,BASE_911!$H:$H,"REPETIDOR",BASE_911!$I:$I,"M",BASE_911!$L:$L,"14")</f>
        <v/>
      </c>
      <c r="N9">
        <f>COUNTIFS(BASE_911!$F:$F,2,BASE_911!$H:$H,"REPETIDOR",BASE_911!$I:$I,"M",BASE_911!$L:$L,"15+")</f>
        <v/>
      </c>
      <c r="O9">
        <f>SUM(D9:N9)</f>
        <v/>
      </c>
    </row>
    <row r="10">
      <c r="A10" t="n">
        <v>3</v>
      </c>
      <c r="B10" t="inlineStr">
        <is>
          <t>INSCRITO</t>
        </is>
      </c>
      <c r="C10" t="inlineStr">
        <is>
          <t>H</t>
        </is>
      </c>
      <c r="D10">
        <f>COUNTIFS(BASE_911!$F:$F,3,BASE_911!$H:$H,"INSCRITO",BASE_911!$I:$I,"H",BASE_911!$L:$L,"&lt;6")</f>
        <v/>
      </c>
      <c r="E10">
        <f>COUNTIFS(BASE_911!$F:$F,3,BASE_911!$H:$H,"INSCRITO",BASE_911!$I:$I,"H",BASE_911!$L:$L,"6")</f>
        <v/>
      </c>
      <c r="F10">
        <f>COUNTIFS(BASE_911!$F:$F,3,BASE_911!$H:$H,"INSCRITO",BASE_911!$I:$I,"H",BASE_911!$L:$L,"7")</f>
        <v/>
      </c>
      <c r="G10">
        <f>COUNTIFS(BASE_911!$F:$F,3,BASE_911!$H:$H,"INSCRITO",BASE_911!$I:$I,"H",BASE_911!$L:$L,"8")</f>
        <v/>
      </c>
      <c r="H10">
        <f>COUNTIFS(BASE_911!$F:$F,3,BASE_911!$H:$H,"INSCRITO",BASE_911!$I:$I,"H",BASE_911!$L:$L,"9")</f>
        <v/>
      </c>
      <c r="I10">
        <f>COUNTIFS(BASE_911!$F:$F,3,BASE_911!$H:$H,"INSCRITO",BASE_911!$I:$I,"H",BASE_911!$L:$L,"10")</f>
        <v/>
      </c>
      <c r="J10">
        <f>COUNTIFS(BASE_911!$F:$F,3,BASE_911!$H:$H,"INSCRITO",BASE_911!$I:$I,"H",BASE_911!$L:$L,"11")</f>
        <v/>
      </c>
      <c r="K10">
        <f>COUNTIFS(BASE_911!$F:$F,3,BASE_911!$H:$H,"INSCRITO",BASE_911!$I:$I,"H",BASE_911!$L:$L,"12")</f>
        <v/>
      </c>
      <c r="L10">
        <f>COUNTIFS(BASE_911!$F:$F,3,BASE_911!$H:$H,"INSCRITO",BASE_911!$I:$I,"H",BASE_911!$L:$L,"13")</f>
        <v/>
      </c>
      <c r="M10">
        <f>COUNTIFS(BASE_911!$F:$F,3,BASE_911!$H:$H,"INSCRITO",BASE_911!$I:$I,"H",BASE_911!$L:$L,"14")</f>
        <v/>
      </c>
      <c r="N10">
        <f>COUNTIFS(BASE_911!$F:$F,3,BASE_911!$H:$H,"INSCRITO",BASE_911!$I:$I,"H",BASE_911!$L:$L,"15+")</f>
        <v/>
      </c>
      <c r="O10">
        <f>SUM(D10:N10)</f>
        <v/>
      </c>
    </row>
    <row r="11">
      <c r="A11" t="n">
        <v>3</v>
      </c>
      <c r="B11" t="inlineStr">
        <is>
          <t>INSCRITO</t>
        </is>
      </c>
      <c r="C11" t="inlineStr">
        <is>
          <t>M</t>
        </is>
      </c>
      <c r="D11">
        <f>COUNTIFS(BASE_911!$F:$F,3,BASE_911!$H:$H,"INSCRITO",BASE_911!$I:$I,"M",BASE_911!$L:$L,"&lt;6")</f>
        <v/>
      </c>
      <c r="E11">
        <f>COUNTIFS(BASE_911!$F:$F,3,BASE_911!$H:$H,"INSCRITO",BASE_911!$I:$I,"M",BASE_911!$L:$L,"6")</f>
        <v/>
      </c>
      <c r="F11">
        <f>COUNTIFS(BASE_911!$F:$F,3,BASE_911!$H:$H,"INSCRITO",BASE_911!$I:$I,"M",BASE_911!$L:$L,"7")</f>
        <v/>
      </c>
      <c r="G11">
        <f>COUNTIFS(BASE_911!$F:$F,3,BASE_911!$H:$H,"INSCRITO",BASE_911!$I:$I,"M",BASE_911!$L:$L,"8")</f>
        <v/>
      </c>
      <c r="H11">
        <f>COUNTIFS(BASE_911!$F:$F,3,BASE_911!$H:$H,"INSCRITO",BASE_911!$I:$I,"M",BASE_911!$L:$L,"9")</f>
        <v/>
      </c>
      <c r="I11">
        <f>COUNTIFS(BASE_911!$F:$F,3,BASE_911!$H:$H,"INSCRITO",BASE_911!$I:$I,"M",BASE_911!$L:$L,"10")</f>
        <v/>
      </c>
      <c r="J11">
        <f>COUNTIFS(BASE_911!$F:$F,3,BASE_911!$H:$H,"INSCRITO",BASE_911!$I:$I,"M",BASE_911!$L:$L,"11")</f>
        <v/>
      </c>
      <c r="K11">
        <f>COUNTIFS(BASE_911!$F:$F,3,BASE_911!$H:$H,"INSCRITO",BASE_911!$I:$I,"M",BASE_911!$L:$L,"12")</f>
        <v/>
      </c>
      <c r="L11">
        <f>COUNTIFS(BASE_911!$F:$F,3,BASE_911!$H:$H,"INSCRITO",BASE_911!$I:$I,"M",BASE_911!$L:$L,"13")</f>
        <v/>
      </c>
      <c r="M11">
        <f>COUNTIFS(BASE_911!$F:$F,3,BASE_911!$H:$H,"INSCRITO",BASE_911!$I:$I,"M",BASE_911!$L:$L,"14")</f>
        <v/>
      </c>
      <c r="N11">
        <f>COUNTIFS(BASE_911!$F:$F,3,BASE_911!$H:$H,"INSCRITO",BASE_911!$I:$I,"M",BASE_911!$L:$L,"15+")</f>
        <v/>
      </c>
      <c r="O11">
        <f>SUM(D11:N11)</f>
        <v/>
      </c>
    </row>
    <row r="12">
      <c r="A12" t="n">
        <v>3</v>
      </c>
      <c r="B12" t="inlineStr">
        <is>
          <t>REPETIDOR</t>
        </is>
      </c>
      <c r="C12" t="inlineStr">
        <is>
          <t>H</t>
        </is>
      </c>
      <c r="D12">
        <f>COUNTIFS(BASE_911!$F:$F,3,BASE_911!$H:$H,"REPETIDOR",BASE_911!$I:$I,"H",BASE_911!$L:$L,"&lt;6")</f>
        <v/>
      </c>
      <c r="E12">
        <f>COUNTIFS(BASE_911!$F:$F,3,BASE_911!$H:$H,"REPETIDOR",BASE_911!$I:$I,"H",BASE_911!$L:$L,"6")</f>
        <v/>
      </c>
      <c r="F12">
        <f>COUNTIFS(BASE_911!$F:$F,3,BASE_911!$H:$H,"REPETIDOR",BASE_911!$I:$I,"H",BASE_911!$L:$L,"7")</f>
        <v/>
      </c>
      <c r="G12">
        <f>COUNTIFS(BASE_911!$F:$F,3,BASE_911!$H:$H,"REPETIDOR",BASE_911!$I:$I,"H",BASE_911!$L:$L,"8")</f>
        <v/>
      </c>
      <c r="H12">
        <f>COUNTIFS(BASE_911!$F:$F,3,BASE_911!$H:$H,"REPETIDOR",BASE_911!$I:$I,"H",BASE_911!$L:$L,"9")</f>
        <v/>
      </c>
      <c r="I12">
        <f>COUNTIFS(BASE_911!$F:$F,3,BASE_911!$H:$H,"REPETIDOR",BASE_911!$I:$I,"H",BASE_911!$L:$L,"10")</f>
        <v/>
      </c>
      <c r="J12">
        <f>COUNTIFS(BASE_911!$F:$F,3,BASE_911!$H:$H,"REPETIDOR",BASE_911!$I:$I,"H",BASE_911!$L:$L,"11")</f>
        <v/>
      </c>
      <c r="K12">
        <f>COUNTIFS(BASE_911!$F:$F,3,BASE_911!$H:$H,"REPETIDOR",BASE_911!$I:$I,"H",BASE_911!$L:$L,"12")</f>
        <v/>
      </c>
      <c r="L12">
        <f>COUNTIFS(BASE_911!$F:$F,3,BASE_911!$H:$H,"REPETIDOR",BASE_911!$I:$I,"H",BASE_911!$L:$L,"13")</f>
        <v/>
      </c>
      <c r="M12">
        <f>COUNTIFS(BASE_911!$F:$F,3,BASE_911!$H:$H,"REPETIDOR",BASE_911!$I:$I,"H",BASE_911!$L:$L,"14")</f>
        <v/>
      </c>
      <c r="N12">
        <f>COUNTIFS(BASE_911!$F:$F,3,BASE_911!$H:$H,"REPETIDOR",BASE_911!$I:$I,"H",BASE_911!$L:$L,"15+")</f>
        <v/>
      </c>
      <c r="O12">
        <f>SUM(D12:N12)</f>
        <v/>
      </c>
    </row>
    <row r="13">
      <c r="A13" t="n">
        <v>3</v>
      </c>
      <c r="B13" t="inlineStr">
        <is>
          <t>REPETIDOR</t>
        </is>
      </c>
      <c r="C13" t="inlineStr">
        <is>
          <t>M</t>
        </is>
      </c>
      <c r="D13">
        <f>COUNTIFS(BASE_911!$F:$F,3,BASE_911!$H:$H,"REPETIDOR",BASE_911!$I:$I,"M",BASE_911!$L:$L,"&lt;6")</f>
        <v/>
      </c>
      <c r="E13">
        <f>COUNTIFS(BASE_911!$F:$F,3,BASE_911!$H:$H,"REPETIDOR",BASE_911!$I:$I,"M",BASE_911!$L:$L,"6")</f>
        <v/>
      </c>
      <c r="F13">
        <f>COUNTIFS(BASE_911!$F:$F,3,BASE_911!$H:$H,"REPETIDOR",BASE_911!$I:$I,"M",BASE_911!$L:$L,"7")</f>
        <v/>
      </c>
      <c r="G13">
        <f>COUNTIFS(BASE_911!$F:$F,3,BASE_911!$H:$H,"REPETIDOR",BASE_911!$I:$I,"M",BASE_911!$L:$L,"8")</f>
        <v/>
      </c>
      <c r="H13">
        <f>COUNTIFS(BASE_911!$F:$F,3,BASE_911!$H:$H,"REPETIDOR",BASE_911!$I:$I,"M",BASE_911!$L:$L,"9")</f>
        <v/>
      </c>
      <c r="I13">
        <f>COUNTIFS(BASE_911!$F:$F,3,BASE_911!$H:$H,"REPETIDOR",BASE_911!$I:$I,"M",BASE_911!$L:$L,"10")</f>
        <v/>
      </c>
      <c r="J13">
        <f>COUNTIFS(BASE_911!$F:$F,3,BASE_911!$H:$H,"REPETIDOR",BASE_911!$I:$I,"M",BASE_911!$L:$L,"11")</f>
        <v/>
      </c>
      <c r="K13">
        <f>COUNTIFS(BASE_911!$F:$F,3,BASE_911!$H:$H,"REPETIDOR",BASE_911!$I:$I,"M",BASE_911!$L:$L,"12")</f>
        <v/>
      </c>
      <c r="L13">
        <f>COUNTIFS(BASE_911!$F:$F,3,BASE_911!$H:$H,"REPETIDOR",BASE_911!$I:$I,"M",BASE_911!$L:$L,"13")</f>
        <v/>
      </c>
      <c r="M13">
        <f>COUNTIFS(BASE_911!$F:$F,3,BASE_911!$H:$H,"REPETIDOR",BASE_911!$I:$I,"M",BASE_911!$L:$L,"14")</f>
        <v/>
      </c>
      <c r="N13">
        <f>COUNTIFS(BASE_911!$F:$F,3,BASE_911!$H:$H,"REPETIDOR",BASE_911!$I:$I,"M",BASE_911!$L:$L,"15+")</f>
        <v/>
      </c>
      <c r="O13">
        <f>SUM(D13:N13)</f>
        <v/>
      </c>
    </row>
    <row r="14">
      <c r="A14" t="n">
        <v>4</v>
      </c>
      <c r="B14" t="inlineStr">
        <is>
          <t>INSCRITO</t>
        </is>
      </c>
      <c r="C14" t="inlineStr">
        <is>
          <t>H</t>
        </is>
      </c>
      <c r="D14">
        <f>COUNTIFS(BASE_911!$F:$F,4,BASE_911!$H:$H,"INSCRITO",BASE_911!$I:$I,"H",BASE_911!$L:$L,"&lt;6")</f>
        <v/>
      </c>
      <c r="E14">
        <f>COUNTIFS(BASE_911!$F:$F,4,BASE_911!$H:$H,"INSCRITO",BASE_911!$I:$I,"H",BASE_911!$L:$L,"6")</f>
        <v/>
      </c>
      <c r="F14">
        <f>COUNTIFS(BASE_911!$F:$F,4,BASE_911!$H:$H,"INSCRITO",BASE_911!$I:$I,"H",BASE_911!$L:$L,"7")</f>
        <v/>
      </c>
      <c r="G14">
        <f>COUNTIFS(BASE_911!$F:$F,4,BASE_911!$H:$H,"INSCRITO",BASE_911!$I:$I,"H",BASE_911!$L:$L,"8")</f>
        <v/>
      </c>
      <c r="H14">
        <f>COUNTIFS(BASE_911!$F:$F,4,BASE_911!$H:$H,"INSCRITO",BASE_911!$I:$I,"H",BASE_911!$L:$L,"9")</f>
        <v/>
      </c>
      <c r="I14">
        <f>COUNTIFS(BASE_911!$F:$F,4,BASE_911!$H:$H,"INSCRITO",BASE_911!$I:$I,"H",BASE_911!$L:$L,"10")</f>
        <v/>
      </c>
      <c r="J14">
        <f>COUNTIFS(BASE_911!$F:$F,4,BASE_911!$H:$H,"INSCRITO",BASE_911!$I:$I,"H",BASE_911!$L:$L,"11")</f>
        <v/>
      </c>
      <c r="K14">
        <f>COUNTIFS(BASE_911!$F:$F,4,BASE_911!$H:$H,"INSCRITO",BASE_911!$I:$I,"H",BASE_911!$L:$L,"12")</f>
        <v/>
      </c>
      <c r="L14">
        <f>COUNTIFS(BASE_911!$F:$F,4,BASE_911!$H:$H,"INSCRITO",BASE_911!$I:$I,"H",BASE_911!$L:$L,"13")</f>
        <v/>
      </c>
      <c r="M14">
        <f>COUNTIFS(BASE_911!$F:$F,4,BASE_911!$H:$H,"INSCRITO",BASE_911!$I:$I,"H",BASE_911!$L:$L,"14")</f>
        <v/>
      </c>
      <c r="N14">
        <f>COUNTIFS(BASE_911!$F:$F,4,BASE_911!$H:$H,"INSCRITO",BASE_911!$I:$I,"H",BASE_911!$L:$L,"15+")</f>
        <v/>
      </c>
      <c r="O14">
        <f>SUM(D14:N14)</f>
        <v/>
      </c>
    </row>
    <row r="15">
      <c r="A15" t="n">
        <v>4</v>
      </c>
      <c r="B15" t="inlineStr">
        <is>
          <t>INSCRITO</t>
        </is>
      </c>
      <c r="C15" t="inlineStr">
        <is>
          <t>M</t>
        </is>
      </c>
      <c r="D15">
        <f>COUNTIFS(BASE_911!$F:$F,4,BASE_911!$H:$H,"INSCRITO",BASE_911!$I:$I,"M",BASE_911!$L:$L,"&lt;6")</f>
        <v/>
      </c>
      <c r="E15">
        <f>COUNTIFS(BASE_911!$F:$F,4,BASE_911!$H:$H,"INSCRITO",BASE_911!$I:$I,"M",BASE_911!$L:$L,"6")</f>
        <v/>
      </c>
      <c r="F15">
        <f>COUNTIFS(BASE_911!$F:$F,4,BASE_911!$H:$H,"INSCRITO",BASE_911!$I:$I,"M",BASE_911!$L:$L,"7")</f>
        <v/>
      </c>
      <c r="G15">
        <f>COUNTIFS(BASE_911!$F:$F,4,BASE_911!$H:$H,"INSCRITO",BASE_911!$I:$I,"M",BASE_911!$L:$L,"8")</f>
        <v/>
      </c>
      <c r="H15">
        <f>COUNTIFS(BASE_911!$F:$F,4,BASE_911!$H:$H,"INSCRITO",BASE_911!$I:$I,"M",BASE_911!$L:$L,"9")</f>
        <v/>
      </c>
      <c r="I15">
        <f>COUNTIFS(BASE_911!$F:$F,4,BASE_911!$H:$H,"INSCRITO",BASE_911!$I:$I,"M",BASE_911!$L:$L,"10")</f>
        <v/>
      </c>
      <c r="J15">
        <f>COUNTIFS(BASE_911!$F:$F,4,BASE_911!$H:$H,"INSCRITO",BASE_911!$I:$I,"M",BASE_911!$L:$L,"11")</f>
        <v/>
      </c>
      <c r="K15">
        <f>COUNTIFS(BASE_911!$F:$F,4,BASE_911!$H:$H,"INSCRITO",BASE_911!$I:$I,"M",BASE_911!$L:$L,"12")</f>
        <v/>
      </c>
      <c r="L15">
        <f>COUNTIFS(BASE_911!$F:$F,4,BASE_911!$H:$H,"INSCRITO",BASE_911!$I:$I,"M",BASE_911!$L:$L,"13")</f>
        <v/>
      </c>
      <c r="M15">
        <f>COUNTIFS(BASE_911!$F:$F,4,BASE_911!$H:$H,"INSCRITO",BASE_911!$I:$I,"M",BASE_911!$L:$L,"14")</f>
        <v/>
      </c>
      <c r="N15">
        <f>COUNTIFS(BASE_911!$F:$F,4,BASE_911!$H:$H,"INSCRITO",BASE_911!$I:$I,"M",BASE_911!$L:$L,"15+")</f>
        <v/>
      </c>
      <c r="O15">
        <f>SUM(D15:N15)</f>
        <v/>
      </c>
    </row>
    <row r="16">
      <c r="A16" t="n">
        <v>4</v>
      </c>
      <c r="B16" t="inlineStr">
        <is>
          <t>REPETIDOR</t>
        </is>
      </c>
      <c r="C16" t="inlineStr">
        <is>
          <t>H</t>
        </is>
      </c>
      <c r="D16">
        <f>COUNTIFS(BASE_911!$F:$F,4,BASE_911!$H:$H,"REPETIDOR",BASE_911!$I:$I,"H",BASE_911!$L:$L,"&lt;6")</f>
        <v/>
      </c>
      <c r="E16">
        <f>COUNTIFS(BASE_911!$F:$F,4,BASE_911!$H:$H,"REPETIDOR",BASE_911!$I:$I,"H",BASE_911!$L:$L,"6")</f>
        <v/>
      </c>
      <c r="F16">
        <f>COUNTIFS(BASE_911!$F:$F,4,BASE_911!$H:$H,"REPETIDOR",BASE_911!$I:$I,"H",BASE_911!$L:$L,"7")</f>
        <v/>
      </c>
      <c r="G16">
        <f>COUNTIFS(BASE_911!$F:$F,4,BASE_911!$H:$H,"REPETIDOR",BASE_911!$I:$I,"H",BASE_911!$L:$L,"8")</f>
        <v/>
      </c>
      <c r="H16">
        <f>COUNTIFS(BASE_911!$F:$F,4,BASE_911!$H:$H,"REPETIDOR",BASE_911!$I:$I,"H",BASE_911!$L:$L,"9")</f>
        <v/>
      </c>
      <c r="I16">
        <f>COUNTIFS(BASE_911!$F:$F,4,BASE_911!$H:$H,"REPETIDOR",BASE_911!$I:$I,"H",BASE_911!$L:$L,"10")</f>
        <v/>
      </c>
      <c r="J16">
        <f>COUNTIFS(BASE_911!$F:$F,4,BASE_911!$H:$H,"REPETIDOR",BASE_911!$I:$I,"H",BASE_911!$L:$L,"11")</f>
        <v/>
      </c>
      <c r="K16">
        <f>COUNTIFS(BASE_911!$F:$F,4,BASE_911!$H:$H,"REPETIDOR",BASE_911!$I:$I,"H",BASE_911!$L:$L,"12")</f>
        <v/>
      </c>
      <c r="L16">
        <f>COUNTIFS(BASE_911!$F:$F,4,BASE_911!$H:$H,"REPETIDOR",BASE_911!$I:$I,"H",BASE_911!$L:$L,"13")</f>
        <v/>
      </c>
      <c r="M16">
        <f>COUNTIFS(BASE_911!$F:$F,4,BASE_911!$H:$H,"REPETIDOR",BASE_911!$I:$I,"H",BASE_911!$L:$L,"14")</f>
        <v/>
      </c>
      <c r="N16">
        <f>COUNTIFS(BASE_911!$F:$F,4,BASE_911!$H:$H,"REPETIDOR",BASE_911!$I:$I,"H",BASE_911!$L:$L,"15+")</f>
        <v/>
      </c>
      <c r="O16">
        <f>SUM(D16:N16)</f>
        <v/>
      </c>
    </row>
    <row r="17">
      <c r="A17" t="n">
        <v>4</v>
      </c>
      <c r="B17" t="inlineStr">
        <is>
          <t>REPETIDOR</t>
        </is>
      </c>
      <c r="C17" t="inlineStr">
        <is>
          <t>M</t>
        </is>
      </c>
      <c r="D17">
        <f>COUNTIFS(BASE_911!$F:$F,4,BASE_911!$H:$H,"REPETIDOR",BASE_911!$I:$I,"M",BASE_911!$L:$L,"&lt;6")</f>
        <v/>
      </c>
      <c r="E17">
        <f>COUNTIFS(BASE_911!$F:$F,4,BASE_911!$H:$H,"REPETIDOR",BASE_911!$I:$I,"M",BASE_911!$L:$L,"6")</f>
        <v/>
      </c>
      <c r="F17">
        <f>COUNTIFS(BASE_911!$F:$F,4,BASE_911!$H:$H,"REPETIDOR",BASE_911!$I:$I,"M",BASE_911!$L:$L,"7")</f>
        <v/>
      </c>
      <c r="G17">
        <f>COUNTIFS(BASE_911!$F:$F,4,BASE_911!$H:$H,"REPETIDOR",BASE_911!$I:$I,"M",BASE_911!$L:$L,"8")</f>
        <v/>
      </c>
      <c r="H17">
        <f>COUNTIFS(BASE_911!$F:$F,4,BASE_911!$H:$H,"REPETIDOR",BASE_911!$I:$I,"M",BASE_911!$L:$L,"9")</f>
        <v/>
      </c>
      <c r="I17">
        <f>COUNTIFS(BASE_911!$F:$F,4,BASE_911!$H:$H,"REPETIDOR",BASE_911!$I:$I,"M",BASE_911!$L:$L,"10")</f>
        <v/>
      </c>
      <c r="J17">
        <f>COUNTIFS(BASE_911!$F:$F,4,BASE_911!$H:$H,"REPETIDOR",BASE_911!$I:$I,"M",BASE_911!$L:$L,"11")</f>
        <v/>
      </c>
      <c r="K17">
        <f>COUNTIFS(BASE_911!$F:$F,4,BASE_911!$H:$H,"REPETIDOR",BASE_911!$I:$I,"M",BASE_911!$L:$L,"12")</f>
        <v/>
      </c>
      <c r="L17">
        <f>COUNTIFS(BASE_911!$F:$F,4,BASE_911!$H:$H,"REPETIDOR",BASE_911!$I:$I,"M",BASE_911!$L:$L,"13")</f>
        <v/>
      </c>
      <c r="M17">
        <f>COUNTIFS(BASE_911!$F:$F,4,BASE_911!$H:$H,"REPETIDOR",BASE_911!$I:$I,"M",BASE_911!$L:$L,"14")</f>
        <v/>
      </c>
      <c r="N17">
        <f>COUNTIFS(BASE_911!$F:$F,4,BASE_911!$H:$H,"REPETIDOR",BASE_911!$I:$I,"M",BASE_911!$L:$L,"15+")</f>
        <v/>
      </c>
      <c r="O17">
        <f>SUM(D17:N17)</f>
        <v/>
      </c>
    </row>
    <row r="18">
      <c r="A18" t="n">
        <v>5</v>
      </c>
      <c r="B18" t="inlineStr">
        <is>
          <t>INSCRITO</t>
        </is>
      </c>
      <c r="C18" t="inlineStr">
        <is>
          <t>H</t>
        </is>
      </c>
      <c r="D18">
        <f>COUNTIFS(BASE_911!$F:$F,5,BASE_911!$H:$H,"INSCRITO",BASE_911!$I:$I,"H",BASE_911!$L:$L,"&lt;6")</f>
        <v/>
      </c>
      <c r="E18">
        <f>COUNTIFS(BASE_911!$F:$F,5,BASE_911!$H:$H,"INSCRITO",BASE_911!$I:$I,"H",BASE_911!$L:$L,"6")</f>
        <v/>
      </c>
      <c r="F18">
        <f>COUNTIFS(BASE_911!$F:$F,5,BASE_911!$H:$H,"INSCRITO",BASE_911!$I:$I,"H",BASE_911!$L:$L,"7")</f>
        <v/>
      </c>
      <c r="G18">
        <f>COUNTIFS(BASE_911!$F:$F,5,BASE_911!$H:$H,"INSCRITO",BASE_911!$I:$I,"H",BASE_911!$L:$L,"8")</f>
        <v/>
      </c>
      <c r="H18">
        <f>COUNTIFS(BASE_911!$F:$F,5,BASE_911!$H:$H,"INSCRITO",BASE_911!$I:$I,"H",BASE_911!$L:$L,"9")</f>
        <v/>
      </c>
      <c r="I18">
        <f>COUNTIFS(BASE_911!$F:$F,5,BASE_911!$H:$H,"INSCRITO",BASE_911!$I:$I,"H",BASE_911!$L:$L,"10")</f>
        <v/>
      </c>
      <c r="J18">
        <f>COUNTIFS(BASE_911!$F:$F,5,BASE_911!$H:$H,"INSCRITO",BASE_911!$I:$I,"H",BASE_911!$L:$L,"11")</f>
        <v/>
      </c>
      <c r="K18">
        <f>COUNTIFS(BASE_911!$F:$F,5,BASE_911!$H:$H,"INSCRITO",BASE_911!$I:$I,"H",BASE_911!$L:$L,"12")</f>
        <v/>
      </c>
      <c r="L18">
        <f>COUNTIFS(BASE_911!$F:$F,5,BASE_911!$H:$H,"INSCRITO",BASE_911!$I:$I,"H",BASE_911!$L:$L,"13")</f>
        <v/>
      </c>
      <c r="M18">
        <f>COUNTIFS(BASE_911!$F:$F,5,BASE_911!$H:$H,"INSCRITO",BASE_911!$I:$I,"H",BASE_911!$L:$L,"14")</f>
        <v/>
      </c>
      <c r="N18">
        <f>COUNTIFS(BASE_911!$F:$F,5,BASE_911!$H:$H,"INSCRITO",BASE_911!$I:$I,"H",BASE_911!$L:$L,"15+")</f>
        <v/>
      </c>
      <c r="O18">
        <f>SUM(D18:N18)</f>
        <v/>
      </c>
    </row>
    <row r="19">
      <c r="A19" t="n">
        <v>5</v>
      </c>
      <c r="B19" t="inlineStr">
        <is>
          <t>INSCRITO</t>
        </is>
      </c>
      <c r="C19" t="inlineStr">
        <is>
          <t>M</t>
        </is>
      </c>
      <c r="D19">
        <f>COUNTIFS(BASE_911!$F:$F,5,BASE_911!$H:$H,"INSCRITO",BASE_911!$I:$I,"M",BASE_911!$L:$L,"&lt;6")</f>
        <v/>
      </c>
      <c r="E19">
        <f>COUNTIFS(BASE_911!$F:$F,5,BASE_911!$H:$H,"INSCRITO",BASE_911!$I:$I,"M",BASE_911!$L:$L,"6")</f>
        <v/>
      </c>
      <c r="F19">
        <f>COUNTIFS(BASE_911!$F:$F,5,BASE_911!$H:$H,"INSCRITO",BASE_911!$I:$I,"M",BASE_911!$L:$L,"7")</f>
        <v/>
      </c>
      <c r="G19">
        <f>COUNTIFS(BASE_911!$F:$F,5,BASE_911!$H:$H,"INSCRITO",BASE_911!$I:$I,"M",BASE_911!$L:$L,"8")</f>
        <v/>
      </c>
      <c r="H19">
        <f>COUNTIFS(BASE_911!$F:$F,5,BASE_911!$H:$H,"INSCRITO",BASE_911!$I:$I,"M",BASE_911!$L:$L,"9")</f>
        <v/>
      </c>
      <c r="I19">
        <f>COUNTIFS(BASE_911!$F:$F,5,BASE_911!$H:$H,"INSCRITO",BASE_911!$I:$I,"M",BASE_911!$L:$L,"10")</f>
        <v/>
      </c>
      <c r="J19">
        <f>COUNTIFS(BASE_911!$F:$F,5,BASE_911!$H:$H,"INSCRITO",BASE_911!$I:$I,"M",BASE_911!$L:$L,"11")</f>
        <v/>
      </c>
      <c r="K19">
        <f>COUNTIFS(BASE_911!$F:$F,5,BASE_911!$H:$H,"INSCRITO",BASE_911!$I:$I,"M",BASE_911!$L:$L,"12")</f>
        <v/>
      </c>
      <c r="L19">
        <f>COUNTIFS(BASE_911!$F:$F,5,BASE_911!$H:$H,"INSCRITO",BASE_911!$I:$I,"M",BASE_911!$L:$L,"13")</f>
        <v/>
      </c>
      <c r="M19">
        <f>COUNTIFS(BASE_911!$F:$F,5,BASE_911!$H:$H,"INSCRITO",BASE_911!$I:$I,"M",BASE_911!$L:$L,"14")</f>
        <v/>
      </c>
      <c r="N19">
        <f>COUNTIFS(BASE_911!$F:$F,5,BASE_911!$H:$H,"INSCRITO",BASE_911!$I:$I,"M",BASE_911!$L:$L,"15+")</f>
        <v/>
      </c>
      <c r="O19">
        <f>SUM(D19:N19)</f>
        <v/>
      </c>
    </row>
    <row r="20">
      <c r="A20" t="n">
        <v>5</v>
      </c>
      <c r="B20" t="inlineStr">
        <is>
          <t>REPETIDOR</t>
        </is>
      </c>
      <c r="C20" t="inlineStr">
        <is>
          <t>H</t>
        </is>
      </c>
      <c r="D20">
        <f>COUNTIFS(BASE_911!$F:$F,5,BASE_911!$H:$H,"REPETIDOR",BASE_911!$I:$I,"H",BASE_911!$L:$L,"&lt;6")</f>
        <v/>
      </c>
      <c r="E20">
        <f>COUNTIFS(BASE_911!$F:$F,5,BASE_911!$H:$H,"REPETIDOR",BASE_911!$I:$I,"H",BASE_911!$L:$L,"6")</f>
        <v/>
      </c>
      <c r="F20">
        <f>COUNTIFS(BASE_911!$F:$F,5,BASE_911!$H:$H,"REPETIDOR",BASE_911!$I:$I,"H",BASE_911!$L:$L,"7")</f>
        <v/>
      </c>
      <c r="G20">
        <f>COUNTIFS(BASE_911!$F:$F,5,BASE_911!$H:$H,"REPETIDOR",BASE_911!$I:$I,"H",BASE_911!$L:$L,"8")</f>
        <v/>
      </c>
      <c r="H20">
        <f>COUNTIFS(BASE_911!$F:$F,5,BASE_911!$H:$H,"REPETIDOR",BASE_911!$I:$I,"H",BASE_911!$L:$L,"9")</f>
        <v/>
      </c>
      <c r="I20">
        <f>COUNTIFS(BASE_911!$F:$F,5,BASE_911!$H:$H,"REPETIDOR",BASE_911!$I:$I,"H",BASE_911!$L:$L,"10")</f>
        <v/>
      </c>
      <c r="J20">
        <f>COUNTIFS(BASE_911!$F:$F,5,BASE_911!$H:$H,"REPETIDOR",BASE_911!$I:$I,"H",BASE_911!$L:$L,"11")</f>
        <v/>
      </c>
      <c r="K20">
        <f>COUNTIFS(BASE_911!$F:$F,5,BASE_911!$H:$H,"REPETIDOR",BASE_911!$I:$I,"H",BASE_911!$L:$L,"12")</f>
        <v/>
      </c>
      <c r="L20">
        <f>COUNTIFS(BASE_911!$F:$F,5,BASE_911!$H:$H,"REPETIDOR",BASE_911!$I:$I,"H",BASE_911!$L:$L,"13")</f>
        <v/>
      </c>
      <c r="M20">
        <f>COUNTIFS(BASE_911!$F:$F,5,BASE_911!$H:$H,"REPETIDOR",BASE_911!$I:$I,"H",BASE_911!$L:$L,"14")</f>
        <v/>
      </c>
      <c r="N20">
        <f>COUNTIFS(BASE_911!$F:$F,5,BASE_911!$H:$H,"REPETIDOR",BASE_911!$I:$I,"H",BASE_911!$L:$L,"15+")</f>
        <v/>
      </c>
      <c r="O20">
        <f>SUM(D20:N20)</f>
        <v/>
      </c>
    </row>
    <row r="21">
      <c r="A21" t="n">
        <v>5</v>
      </c>
      <c r="B21" t="inlineStr">
        <is>
          <t>REPETIDOR</t>
        </is>
      </c>
      <c r="C21" t="inlineStr">
        <is>
          <t>M</t>
        </is>
      </c>
      <c r="D21">
        <f>COUNTIFS(BASE_911!$F:$F,5,BASE_911!$H:$H,"REPETIDOR",BASE_911!$I:$I,"M",BASE_911!$L:$L,"&lt;6")</f>
        <v/>
      </c>
      <c r="E21">
        <f>COUNTIFS(BASE_911!$F:$F,5,BASE_911!$H:$H,"REPETIDOR",BASE_911!$I:$I,"M",BASE_911!$L:$L,"6")</f>
        <v/>
      </c>
      <c r="F21">
        <f>COUNTIFS(BASE_911!$F:$F,5,BASE_911!$H:$H,"REPETIDOR",BASE_911!$I:$I,"M",BASE_911!$L:$L,"7")</f>
        <v/>
      </c>
      <c r="G21">
        <f>COUNTIFS(BASE_911!$F:$F,5,BASE_911!$H:$H,"REPETIDOR",BASE_911!$I:$I,"M",BASE_911!$L:$L,"8")</f>
        <v/>
      </c>
      <c r="H21">
        <f>COUNTIFS(BASE_911!$F:$F,5,BASE_911!$H:$H,"REPETIDOR",BASE_911!$I:$I,"M",BASE_911!$L:$L,"9")</f>
        <v/>
      </c>
      <c r="I21">
        <f>COUNTIFS(BASE_911!$F:$F,5,BASE_911!$H:$H,"REPETIDOR",BASE_911!$I:$I,"M",BASE_911!$L:$L,"10")</f>
        <v/>
      </c>
      <c r="J21">
        <f>COUNTIFS(BASE_911!$F:$F,5,BASE_911!$H:$H,"REPETIDOR",BASE_911!$I:$I,"M",BASE_911!$L:$L,"11")</f>
        <v/>
      </c>
      <c r="K21">
        <f>COUNTIFS(BASE_911!$F:$F,5,BASE_911!$H:$H,"REPETIDOR",BASE_911!$I:$I,"M",BASE_911!$L:$L,"12")</f>
        <v/>
      </c>
      <c r="L21">
        <f>COUNTIFS(BASE_911!$F:$F,5,BASE_911!$H:$H,"REPETIDOR",BASE_911!$I:$I,"M",BASE_911!$L:$L,"13")</f>
        <v/>
      </c>
      <c r="M21">
        <f>COUNTIFS(BASE_911!$F:$F,5,BASE_911!$H:$H,"REPETIDOR",BASE_911!$I:$I,"M",BASE_911!$L:$L,"14")</f>
        <v/>
      </c>
      <c r="N21">
        <f>COUNTIFS(BASE_911!$F:$F,5,BASE_911!$H:$H,"REPETIDOR",BASE_911!$I:$I,"M",BASE_911!$L:$L,"15+")</f>
        <v/>
      </c>
      <c r="O21">
        <f>SUM(D21:N21)</f>
        <v/>
      </c>
    </row>
    <row r="22">
      <c r="A22" t="n">
        <v>6</v>
      </c>
      <c r="B22" t="inlineStr">
        <is>
          <t>INSCRITO</t>
        </is>
      </c>
      <c r="C22" t="inlineStr">
        <is>
          <t>H</t>
        </is>
      </c>
      <c r="D22">
        <f>COUNTIFS(BASE_911!$F:$F,6,BASE_911!$H:$H,"INSCRITO",BASE_911!$I:$I,"H",BASE_911!$L:$L,"&lt;6")</f>
        <v/>
      </c>
      <c r="E22">
        <f>COUNTIFS(BASE_911!$F:$F,6,BASE_911!$H:$H,"INSCRITO",BASE_911!$I:$I,"H",BASE_911!$L:$L,"6")</f>
        <v/>
      </c>
      <c r="F22">
        <f>COUNTIFS(BASE_911!$F:$F,6,BASE_911!$H:$H,"INSCRITO",BASE_911!$I:$I,"H",BASE_911!$L:$L,"7")</f>
        <v/>
      </c>
      <c r="G22">
        <f>COUNTIFS(BASE_911!$F:$F,6,BASE_911!$H:$H,"INSCRITO",BASE_911!$I:$I,"H",BASE_911!$L:$L,"8")</f>
        <v/>
      </c>
      <c r="H22">
        <f>COUNTIFS(BASE_911!$F:$F,6,BASE_911!$H:$H,"INSCRITO",BASE_911!$I:$I,"H",BASE_911!$L:$L,"9")</f>
        <v/>
      </c>
      <c r="I22">
        <f>COUNTIFS(BASE_911!$F:$F,6,BASE_911!$H:$H,"INSCRITO",BASE_911!$I:$I,"H",BASE_911!$L:$L,"10")</f>
        <v/>
      </c>
      <c r="J22">
        <f>COUNTIFS(BASE_911!$F:$F,6,BASE_911!$H:$H,"INSCRITO",BASE_911!$I:$I,"H",BASE_911!$L:$L,"11")</f>
        <v/>
      </c>
      <c r="K22">
        <f>COUNTIFS(BASE_911!$F:$F,6,BASE_911!$H:$H,"INSCRITO",BASE_911!$I:$I,"H",BASE_911!$L:$L,"12")</f>
        <v/>
      </c>
      <c r="L22">
        <f>COUNTIFS(BASE_911!$F:$F,6,BASE_911!$H:$H,"INSCRITO",BASE_911!$I:$I,"H",BASE_911!$L:$L,"13")</f>
        <v/>
      </c>
      <c r="M22">
        <f>COUNTIFS(BASE_911!$F:$F,6,BASE_911!$H:$H,"INSCRITO",BASE_911!$I:$I,"H",BASE_911!$L:$L,"14")</f>
        <v/>
      </c>
      <c r="N22">
        <f>COUNTIFS(BASE_911!$F:$F,6,BASE_911!$H:$H,"INSCRITO",BASE_911!$I:$I,"H",BASE_911!$L:$L,"15+")</f>
        <v/>
      </c>
      <c r="O22">
        <f>SUM(D22:N22)</f>
        <v/>
      </c>
    </row>
    <row r="23">
      <c r="A23" t="n">
        <v>6</v>
      </c>
      <c r="B23" t="inlineStr">
        <is>
          <t>INSCRITO</t>
        </is>
      </c>
      <c r="C23" t="inlineStr">
        <is>
          <t>M</t>
        </is>
      </c>
      <c r="D23">
        <f>COUNTIFS(BASE_911!$F:$F,6,BASE_911!$H:$H,"INSCRITO",BASE_911!$I:$I,"M",BASE_911!$L:$L,"&lt;6")</f>
        <v/>
      </c>
      <c r="E23">
        <f>COUNTIFS(BASE_911!$F:$F,6,BASE_911!$H:$H,"INSCRITO",BASE_911!$I:$I,"M",BASE_911!$L:$L,"6")</f>
        <v/>
      </c>
      <c r="F23">
        <f>COUNTIFS(BASE_911!$F:$F,6,BASE_911!$H:$H,"INSCRITO",BASE_911!$I:$I,"M",BASE_911!$L:$L,"7")</f>
        <v/>
      </c>
      <c r="G23">
        <f>COUNTIFS(BASE_911!$F:$F,6,BASE_911!$H:$H,"INSCRITO",BASE_911!$I:$I,"M",BASE_911!$L:$L,"8")</f>
        <v/>
      </c>
      <c r="H23">
        <f>COUNTIFS(BASE_911!$F:$F,6,BASE_911!$H:$H,"INSCRITO",BASE_911!$I:$I,"M",BASE_911!$L:$L,"9")</f>
        <v/>
      </c>
      <c r="I23">
        <f>COUNTIFS(BASE_911!$F:$F,6,BASE_911!$H:$H,"INSCRITO",BASE_911!$I:$I,"M",BASE_911!$L:$L,"10")</f>
        <v/>
      </c>
      <c r="J23">
        <f>COUNTIFS(BASE_911!$F:$F,6,BASE_911!$H:$H,"INSCRITO",BASE_911!$I:$I,"M",BASE_911!$L:$L,"11")</f>
        <v/>
      </c>
      <c r="K23">
        <f>COUNTIFS(BASE_911!$F:$F,6,BASE_911!$H:$H,"INSCRITO",BASE_911!$I:$I,"M",BASE_911!$L:$L,"12")</f>
        <v/>
      </c>
      <c r="L23">
        <f>COUNTIFS(BASE_911!$F:$F,6,BASE_911!$H:$H,"INSCRITO",BASE_911!$I:$I,"M",BASE_911!$L:$L,"13")</f>
        <v/>
      </c>
      <c r="M23">
        <f>COUNTIFS(BASE_911!$F:$F,6,BASE_911!$H:$H,"INSCRITO",BASE_911!$I:$I,"M",BASE_911!$L:$L,"14")</f>
        <v/>
      </c>
      <c r="N23">
        <f>COUNTIFS(BASE_911!$F:$F,6,BASE_911!$H:$H,"INSCRITO",BASE_911!$I:$I,"M",BASE_911!$L:$L,"15+")</f>
        <v/>
      </c>
      <c r="O23">
        <f>SUM(D23:N23)</f>
        <v/>
      </c>
    </row>
    <row r="24">
      <c r="A24" t="n">
        <v>6</v>
      </c>
      <c r="B24" t="inlineStr">
        <is>
          <t>REPETIDOR</t>
        </is>
      </c>
      <c r="C24" t="inlineStr">
        <is>
          <t>H</t>
        </is>
      </c>
      <c r="D24">
        <f>COUNTIFS(BASE_911!$F:$F,6,BASE_911!$H:$H,"REPETIDOR",BASE_911!$I:$I,"H",BASE_911!$L:$L,"&lt;6")</f>
        <v/>
      </c>
      <c r="E24">
        <f>COUNTIFS(BASE_911!$F:$F,6,BASE_911!$H:$H,"REPETIDOR",BASE_911!$I:$I,"H",BASE_911!$L:$L,"6")</f>
        <v/>
      </c>
      <c r="F24">
        <f>COUNTIFS(BASE_911!$F:$F,6,BASE_911!$H:$H,"REPETIDOR",BASE_911!$I:$I,"H",BASE_911!$L:$L,"7")</f>
        <v/>
      </c>
      <c r="G24">
        <f>COUNTIFS(BASE_911!$F:$F,6,BASE_911!$H:$H,"REPETIDOR",BASE_911!$I:$I,"H",BASE_911!$L:$L,"8")</f>
        <v/>
      </c>
      <c r="H24">
        <f>COUNTIFS(BASE_911!$F:$F,6,BASE_911!$H:$H,"REPETIDOR",BASE_911!$I:$I,"H",BASE_911!$L:$L,"9")</f>
        <v/>
      </c>
      <c r="I24">
        <f>COUNTIFS(BASE_911!$F:$F,6,BASE_911!$H:$H,"REPETIDOR",BASE_911!$I:$I,"H",BASE_911!$L:$L,"10")</f>
        <v/>
      </c>
      <c r="J24">
        <f>COUNTIFS(BASE_911!$F:$F,6,BASE_911!$H:$H,"REPETIDOR",BASE_911!$I:$I,"H",BASE_911!$L:$L,"11")</f>
        <v/>
      </c>
      <c r="K24">
        <f>COUNTIFS(BASE_911!$F:$F,6,BASE_911!$H:$H,"REPETIDOR",BASE_911!$I:$I,"H",BASE_911!$L:$L,"12")</f>
        <v/>
      </c>
      <c r="L24">
        <f>COUNTIFS(BASE_911!$F:$F,6,BASE_911!$H:$H,"REPETIDOR",BASE_911!$I:$I,"H",BASE_911!$L:$L,"13")</f>
        <v/>
      </c>
      <c r="M24">
        <f>COUNTIFS(BASE_911!$F:$F,6,BASE_911!$H:$H,"REPETIDOR",BASE_911!$I:$I,"H",BASE_911!$L:$L,"14")</f>
        <v/>
      </c>
      <c r="N24">
        <f>COUNTIFS(BASE_911!$F:$F,6,BASE_911!$H:$H,"REPETIDOR",BASE_911!$I:$I,"H",BASE_911!$L:$L,"15+")</f>
        <v/>
      </c>
      <c r="O24">
        <f>SUM(D24:N24)</f>
        <v/>
      </c>
    </row>
    <row r="25">
      <c r="A25" t="n">
        <v>6</v>
      </c>
      <c r="B25" t="inlineStr">
        <is>
          <t>REPETIDOR</t>
        </is>
      </c>
      <c r="C25" t="inlineStr">
        <is>
          <t>M</t>
        </is>
      </c>
      <c r="D25">
        <f>COUNTIFS(BASE_911!$F:$F,6,BASE_911!$H:$H,"REPETIDOR",BASE_911!$I:$I,"M",BASE_911!$L:$L,"&lt;6")</f>
        <v/>
      </c>
      <c r="E25">
        <f>COUNTIFS(BASE_911!$F:$F,6,BASE_911!$H:$H,"REPETIDOR",BASE_911!$I:$I,"M",BASE_911!$L:$L,"6")</f>
        <v/>
      </c>
      <c r="F25">
        <f>COUNTIFS(BASE_911!$F:$F,6,BASE_911!$H:$H,"REPETIDOR",BASE_911!$I:$I,"M",BASE_911!$L:$L,"7")</f>
        <v/>
      </c>
      <c r="G25">
        <f>COUNTIFS(BASE_911!$F:$F,6,BASE_911!$H:$H,"REPETIDOR",BASE_911!$I:$I,"M",BASE_911!$L:$L,"8")</f>
        <v/>
      </c>
      <c r="H25">
        <f>COUNTIFS(BASE_911!$F:$F,6,BASE_911!$H:$H,"REPETIDOR",BASE_911!$I:$I,"M",BASE_911!$L:$L,"9")</f>
        <v/>
      </c>
      <c r="I25">
        <f>COUNTIFS(BASE_911!$F:$F,6,BASE_911!$H:$H,"REPETIDOR",BASE_911!$I:$I,"M",BASE_911!$L:$L,"10")</f>
        <v/>
      </c>
      <c r="J25">
        <f>COUNTIFS(BASE_911!$F:$F,6,BASE_911!$H:$H,"REPETIDOR",BASE_911!$I:$I,"M",BASE_911!$L:$L,"11")</f>
        <v/>
      </c>
      <c r="K25">
        <f>COUNTIFS(BASE_911!$F:$F,6,BASE_911!$H:$H,"REPETIDOR",BASE_911!$I:$I,"M",BASE_911!$L:$L,"12")</f>
        <v/>
      </c>
      <c r="L25">
        <f>COUNTIFS(BASE_911!$F:$F,6,BASE_911!$H:$H,"REPETIDOR",BASE_911!$I:$I,"M",BASE_911!$L:$L,"13")</f>
        <v/>
      </c>
      <c r="M25">
        <f>COUNTIFS(BASE_911!$F:$F,6,BASE_911!$H:$H,"REPETIDOR",BASE_911!$I:$I,"M",BASE_911!$L:$L,"14")</f>
        <v/>
      </c>
      <c r="N25">
        <f>COUNTIFS(BASE_911!$F:$F,6,BASE_911!$H:$H,"REPETIDOR",BASE_911!$I:$I,"M",BASE_911!$L:$L,"15+")</f>
        <v/>
      </c>
      <c r="O25">
        <f>SUM(D25:N25)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GRADO Y GRUPO</t>
        </is>
      </c>
      <c r="B1" t="inlineStr">
        <is>
          <t>INSCRIPCION INICIAL (H)</t>
        </is>
      </c>
      <c r="C1" t="inlineStr">
        <is>
          <t>INSCRIPCION INICIAL (M)</t>
        </is>
      </c>
      <c r="D1" t="inlineStr">
        <is>
          <t>INSCRIPCION INICIAL (T)</t>
        </is>
      </c>
      <c r="E1" t="inlineStr">
        <is>
          <t>ALTAS ACUMULADAS (H)</t>
        </is>
      </c>
      <c r="F1" t="inlineStr">
        <is>
          <t>ALTAS ACUMULADAS (M)</t>
        </is>
      </c>
      <c r="G1" t="inlineStr">
        <is>
          <t>BAJAS ACUMULADAS (H)</t>
        </is>
      </c>
      <c r="H1" t="inlineStr">
        <is>
          <t>BAJAS ACUMULADAS (M)</t>
        </is>
      </c>
      <c r="I1" t="inlineStr">
        <is>
          <t>EXISTENCIA ACTUAL (H)</t>
        </is>
      </c>
      <c r="J1" t="inlineStr">
        <is>
          <t>EXISTENCIA ACTUAL (M)</t>
        </is>
      </c>
      <c r="K1" t="inlineStr">
        <is>
          <t>EXISTENCIA TOTAL</t>
        </is>
      </c>
      <c r="L1" t="inlineStr">
        <is>
          <t>GRUPOS</t>
        </is>
      </c>
      <c r="M1" t="inlineStr">
        <is>
          <t>ALUMNOS CON BAP</t>
        </is>
      </c>
      <c r="N1" t="inlineStr">
        <is>
          <t>ALUMNOS EXTRANJEROS</t>
        </is>
      </c>
    </row>
    <row r="2">
      <c r="A2" t="inlineStr">
        <is>
          <t>1° A</t>
        </is>
      </c>
      <c r="B2" t="n">
        <v>16</v>
      </c>
      <c r="C2" t="n">
        <v>16</v>
      </c>
      <c r="D2">
        <f>B2+C2</f>
        <v/>
      </c>
      <c r="E2" t="n">
        <v>1</v>
      </c>
      <c r="F2" t="n">
        <v>0</v>
      </c>
      <c r="G2" t="n">
        <v>0</v>
      </c>
      <c r="H2" t="n">
        <v>1</v>
      </c>
      <c r="I2">
        <f>B2+E2-G2</f>
        <v/>
      </c>
      <c r="J2">
        <f>C2+F2-H2</f>
        <v/>
      </c>
      <c r="K2">
        <f>I2+J2</f>
        <v/>
      </c>
      <c r="L2" t="n">
        <v>1</v>
      </c>
      <c r="M2" t="n">
        <v>2</v>
      </c>
      <c r="N2" t="n">
        <v>0</v>
      </c>
    </row>
    <row r="3">
      <c r="A3" t="inlineStr">
        <is>
          <t>2° A</t>
        </is>
      </c>
      <c r="B3" t="n">
        <v>16</v>
      </c>
      <c r="C3" t="n">
        <v>16</v>
      </c>
      <c r="D3">
        <f>B3+C3</f>
        <v/>
      </c>
      <c r="E3" t="n">
        <v>1</v>
      </c>
      <c r="F3" t="n">
        <v>0</v>
      </c>
      <c r="G3" t="n">
        <v>0</v>
      </c>
      <c r="H3" t="n">
        <v>1</v>
      </c>
      <c r="I3">
        <f>B3+E3-G3</f>
        <v/>
      </c>
      <c r="J3">
        <f>C3+F3-H3</f>
        <v/>
      </c>
      <c r="K3">
        <f>I3+J3</f>
        <v/>
      </c>
      <c r="L3" t="n">
        <v>1</v>
      </c>
      <c r="M3" t="n">
        <v>2</v>
      </c>
      <c r="N3" t="n">
        <v>0</v>
      </c>
    </row>
    <row r="4">
      <c r="A4" t="inlineStr">
        <is>
          <t>3° A</t>
        </is>
      </c>
      <c r="B4" t="n">
        <v>16</v>
      </c>
      <c r="C4" t="n">
        <v>16</v>
      </c>
      <c r="D4">
        <f>B4+C4</f>
        <v/>
      </c>
      <c r="E4" t="n">
        <v>1</v>
      </c>
      <c r="F4" t="n">
        <v>0</v>
      </c>
      <c r="G4" t="n">
        <v>0</v>
      </c>
      <c r="H4" t="n">
        <v>1</v>
      </c>
      <c r="I4">
        <f>B4+E4-G4</f>
        <v/>
      </c>
      <c r="J4">
        <f>C4+F4-H4</f>
        <v/>
      </c>
      <c r="K4">
        <f>I4+J4</f>
        <v/>
      </c>
      <c r="L4" t="n">
        <v>1</v>
      </c>
      <c r="M4" t="n">
        <v>2</v>
      </c>
      <c r="N4" t="n">
        <v>0</v>
      </c>
    </row>
    <row r="5">
      <c r="A5" t="inlineStr">
        <is>
          <t>4° A</t>
        </is>
      </c>
      <c r="B5" t="n">
        <v>16</v>
      </c>
      <c r="C5" t="n">
        <v>16</v>
      </c>
      <c r="D5">
        <f>B5+C5</f>
        <v/>
      </c>
      <c r="E5" t="n">
        <v>1</v>
      </c>
      <c r="F5" t="n">
        <v>0</v>
      </c>
      <c r="G5" t="n">
        <v>0</v>
      </c>
      <c r="H5" t="n">
        <v>1</v>
      </c>
      <c r="I5">
        <f>B5+E5-G5</f>
        <v/>
      </c>
      <c r="J5">
        <f>C5+F5-H5</f>
        <v/>
      </c>
      <c r="K5">
        <f>I5+J5</f>
        <v/>
      </c>
      <c r="L5" t="n">
        <v>1</v>
      </c>
      <c r="M5" t="n">
        <v>2</v>
      </c>
      <c r="N5" t="n">
        <v>0</v>
      </c>
    </row>
    <row r="6">
      <c r="A6" t="inlineStr">
        <is>
          <t>5° A</t>
        </is>
      </c>
      <c r="B6" t="n">
        <v>16</v>
      </c>
      <c r="C6" t="n">
        <v>16</v>
      </c>
      <c r="D6">
        <f>B6+C6</f>
        <v/>
      </c>
      <c r="E6" t="n">
        <v>1</v>
      </c>
      <c r="F6" t="n">
        <v>0</v>
      </c>
      <c r="G6" t="n">
        <v>0</v>
      </c>
      <c r="H6" t="n">
        <v>1</v>
      </c>
      <c r="I6">
        <f>B6+E6-G6</f>
        <v/>
      </c>
      <c r="J6">
        <f>C6+F6-H6</f>
        <v/>
      </c>
      <c r="K6">
        <f>I6+J6</f>
        <v/>
      </c>
      <c r="L6" t="n">
        <v>1</v>
      </c>
      <c r="M6" t="n">
        <v>2</v>
      </c>
      <c r="N6" t="n">
        <v>0</v>
      </c>
    </row>
    <row r="7">
      <c r="A7" t="inlineStr">
        <is>
          <t>6° A</t>
        </is>
      </c>
      <c r="B7" t="n">
        <v>16</v>
      </c>
      <c r="C7" t="n">
        <v>16</v>
      </c>
      <c r="D7">
        <f>B7+C7</f>
        <v/>
      </c>
      <c r="E7" t="n">
        <v>1</v>
      </c>
      <c r="F7" t="n">
        <v>0</v>
      </c>
      <c r="G7" t="n">
        <v>0</v>
      </c>
      <c r="H7" t="n">
        <v>1</v>
      </c>
      <c r="I7">
        <f>B7+E7-G7</f>
        <v/>
      </c>
      <c r="J7">
        <f>C7+F7-H7</f>
        <v/>
      </c>
      <c r="K7">
        <f>I7+J7</f>
        <v/>
      </c>
      <c r="L7" t="n">
        <v>1</v>
      </c>
      <c r="M7" t="n">
        <v>2</v>
      </c>
      <c r="N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2026-10-25T19:59:45Z</dcterms:created>
  <dcterms:modified xsi:type="dcterms:W3CDTF">2026-10-25T19:59:45Z</dcterms:modified>
</cp:coreProperties>
</file>