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ISTICA_911_Y_SAB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</t>
        </is>
      </c>
      <c r="B1" t="inlineStr">
        <is>
          <t>NOMBRE (FICHAS.JSON)</t>
        </is>
      </c>
      <c r="C1" t="inlineStr">
        <is>
          <t>CURP</t>
        </is>
      </c>
      <c r="D1" t="inlineStr">
        <is>
          <t>SEXO</t>
        </is>
      </c>
      <c r="E1" t="inlineStr">
        <is>
          <t>CONDICION</t>
        </is>
      </c>
      <c r="F1" t="inlineStr">
        <is>
          <t>ANIO_NAC</t>
        </is>
      </c>
      <c r="G1" t="inlineStr">
        <is>
          <t>EDAD_31_DIC</t>
        </is>
      </c>
    </row>
    <row r="2">
      <c r="A2" t="n">
        <v>1</v>
      </c>
      <c r="B2" t="inlineStr">
        <is>
          <t>HERNANDEZ RAMIREZ LUIS ANGEL</t>
        </is>
      </c>
      <c r="C2" t="inlineStr">
        <is>
          <t>HERL180314HMCRMSA9</t>
        </is>
      </c>
      <c r="D2" t="inlineStr">
        <is>
          <t>H</t>
        </is>
      </c>
      <c r="E2" t="inlineStr">
        <is>
          <t>NI</t>
        </is>
      </c>
      <c r="F2">
        <f>VALUE(MID(C2,5,2))</f>
        <v/>
      </c>
      <c r="G2">
        <f>24-F2</f>
        <v/>
      </c>
    </row>
    <row r="3">
      <c r="A3" t="n">
        <v>2</v>
      </c>
      <c r="B3" t="inlineStr">
        <is>
          <t>MARTINEZ GOMEZ SOFIA</t>
        </is>
      </c>
      <c r="C3" t="inlineStr">
        <is>
          <t>MAGS180520MMCRMSA1</t>
        </is>
      </c>
      <c r="D3" t="inlineStr">
        <is>
          <t>M</t>
        </is>
      </c>
      <c r="E3" t="inlineStr">
        <is>
          <t>NI</t>
        </is>
      </c>
      <c r="F3">
        <f>VALUE(MID(C3,5,2))</f>
        <v/>
      </c>
      <c r="G3">
        <f>24-F3</f>
        <v/>
      </c>
    </row>
    <row r="4">
      <c r="A4" t="n">
        <v>3</v>
      </c>
      <c r="B4" t="inlineStr">
        <is>
          <t>PEREZ LUNA CARLOS</t>
        </is>
      </c>
      <c r="C4" t="inlineStr">
        <is>
          <t>PELC180314HMCRNRA3</t>
        </is>
      </c>
      <c r="D4" t="inlineStr">
        <is>
          <t>H</t>
        </is>
      </c>
      <c r="E4" t="inlineStr">
        <is>
          <t>NI</t>
        </is>
      </c>
      <c r="F4">
        <f>VALUE(MID(C4,5,2))</f>
        <v/>
      </c>
      <c r="G4">
        <f>24-F4</f>
        <v/>
      </c>
    </row>
    <row r="5">
      <c r="A5" t="n">
        <v>4</v>
      </c>
      <c r="B5" t="inlineStr">
        <is>
          <t>TORRES VEGA ANA</t>
        </is>
      </c>
      <c r="C5" t="inlineStr">
        <is>
          <t>TOVA170810MMCRMSA2</t>
        </is>
      </c>
      <c r="D5" t="inlineStr">
        <is>
          <t>M</t>
        </is>
      </c>
      <c r="E5" t="inlineStr">
        <is>
          <t>NI</t>
        </is>
      </c>
      <c r="F5">
        <f>VALUE(MID(C5,5,2))</f>
        <v/>
      </c>
      <c r="G5">
        <f>24-F5</f>
        <v/>
      </c>
    </row>
    <row r="6">
      <c r="A6" t="n">
        <v>5</v>
      </c>
      <c r="B6" t="inlineStr">
        <is>
          <t>CASTRO NAVA DIEGO</t>
        </is>
      </c>
      <c r="C6" t="inlineStr">
        <is>
          <t>CAND160115HMCRMSA8</t>
        </is>
      </c>
      <c r="D6" t="inlineStr">
        <is>
          <t>H</t>
        </is>
      </c>
      <c r="E6" t="inlineStr">
        <is>
          <t>NI</t>
        </is>
      </c>
      <c r="F6">
        <f>VALUE(MID(C6,5,2))</f>
        <v/>
      </c>
      <c r="G6">
        <f>24-F6</f>
        <v/>
      </c>
    </row>
    <row r="8">
      <c r="A8" t="inlineStr">
        <is>
          <t>CONCEPTO</t>
        </is>
      </c>
      <c r="B8" t="inlineStr">
        <is>
          <t>1?</t>
        </is>
      </c>
      <c r="C8" t="inlineStr">
        <is>
          <t>2?</t>
        </is>
      </c>
      <c r="D8" t="inlineStr">
        <is>
          <t>3?</t>
        </is>
      </c>
      <c r="E8" t="inlineStr">
        <is>
          <t>4?</t>
        </is>
      </c>
      <c r="F8" t="inlineStr">
        <is>
          <t>5?</t>
        </is>
      </c>
      <c r="G8" t="inlineStr">
        <is>
          <t>6?</t>
        </is>
      </c>
      <c r="H8" t="inlineStr">
        <is>
          <t>TOTAL</t>
        </is>
      </c>
    </row>
    <row r="9">
      <c r="A9" t="inlineStr">
        <is>
          <t>SINCE</t>
        </is>
      </c>
      <c r="B9" t="n">
        <v>30</v>
      </c>
      <c r="C9" t="n">
        <v>29</v>
      </c>
      <c r="D9" t="n">
        <v>32</v>
      </c>
      <c r="E9" t="n">
        <v>35</v>
      </c>
      <c r="F9" t="n">
        <v>31</v>
      </c>
      <c r="G9" t="n">
        <v>30</v>
      </c>
      <c r="H9">
        <f>SUM(B9:G9)</f>
        <v/>
      </c>
    </row>
    <row r="10">
      <c r="A10" t="inlineStr">
        <is>
          <t>INSCRIPCION OMITIDA (+)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>
        <f>SUM(B10:G10)</f>
        <v/>
      </c>
    </row>
    <row r="11">
      <c r="A11" t="inlineStr">
        <is>
          <t>INSCRIPCION INDEBIDA (-)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>
        <f>SUM(B11:G11)</f>
        <v/>
      </c>
    </row>
    <row r="12">
      <c r="A12" t="inlineStr">
        <is>
          <t>ACTIVACION (+)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>
        <f>SUM(B12:G12)</f>
        <v/>
      </c>
    </row>
    <row r="13">
      <c r="A13" t="inlineStr">
        <is>
          <t>CAMBIO DE GRADO (+)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>
        <f>SUM(B13:G13)</f>
        <v/>
      </c>
    </row>
    <row r="14">
      <c r="A14" t="inlineStr">
        <is>
          <t>ALTA OMITIDA (+)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>
        <f>SUM(B14:G14)</f>
        <v/>
      </c>
    </row>
    <row r="15">
      <c r="A15" t="inlineStr">
        <is>
          <t>ALTA INDEBIDA (-)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>
        <f>SUM(B15:G15)</f>
        <v/>
      </c>
    </row>
    <row r="16">
      <c r="A16" t="inlineStr">
        <is>
          <t>BAJA OMITIDA (-)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>
        <f>SUM(B16:G16)</f>
        <v/>
      </c>
    </row>
    <row r="17">
      <c r="A17" t="inlineStr">
        <is>
          <t>BAJA INDEBIDA (+)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>
        <f>SUM(B17:G17)</f>
        <v/>
      </c>
    </row>
    <row r="18">
      <c r="A18" t="inlineStr">
        <is>
          <t>TOTAL CONCILIADO</t>
        </is>
      </c>
      <c r="B18">
        <f>B9+B10-B11+B12+B13+B14-B15-B16+B17</f>
        <v/>
      </c>
      <c r="C18">
        <f>C9+C10-C11+C12+C13+C14-C15-C16+C17</f>
        <v/>
      </c>
      <c r="D18">
        <f>D9+D10-D11+D12+D13+D14-D15-D16+D17</f>
        <v/>
      </c>
      <c r="E18">
        <f>E9+E10-E11+E12+E13+E14-E15-E16+E17</f>
        <v/>
      </c>
      <c r="F18">
        <f>F9+F10-F11+F12+F13+F14-F15-F16+F17</f>
        <v/>
      </c>
      <c r="G18">
        <f>G9+G10-G11+G12+G13+G14-G15-G16+G17</f>
        <v/>
      </c>
      <c r="H18">
        <f>SUM(B18:G18)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2026-10-25T20:27:19Z</dcterms:created>
  <dcterms:modified xsi:type="dcterms:W3CDTF">2026-10-25T20:27:19Z</dcterms:modified>
</cp:coreProperties>
</file>